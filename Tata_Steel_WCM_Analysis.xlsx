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7ce6d3b09321534/Desktop/Project Work/"/>
    </mc:Choice>
  </mc:AlternateContent>
  <xr:revisionPtr revIDLastSave="0" documentId="8_{148E033C-E8A1-40D9-AA1A-809AB120E2B0}" xr6:coauthVersionLast="47" xr6:coauthVersionMax="47" xr10:uidLastSave="{00000000-0000-0000-0000-000000000000}"/>
  <bookViews>
    <workbookView xWindow="-103" yWindow="-103" windowWidth="24892" windowHeight="14092" tabRatio="500" firstSheet="1" activeTab="5" xr2:uid="{00000000-000D-0000-FFFF-FFFF00000000}"/>
  </bookViews>
  <sheets>
    <sheet name="📊 Dashboard" sheetId="1" r:id="rId1"/>
    <sheet name="📋 Cover" sheetId="2" r:id="rId2"/>
    <sheet name="📁 Financial Statements" sheetId="3" r:id="rId3"/>
    <sheet name="⚙️ WC Ratios" sheetId="4" r:id="rId4"/>
    <sheet name="📦 Cost Sheet" sheetId="5" r:id="rId5"/>
    <sheet name="🏭 Peer Analysi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<sst xmlns="http://schemas.openxmlformats.org/spreadsheetml/2006/main" count="318" uniqueCount="237">
  <si>
    <t>📊  TATA STEEL — WORKING CAPITAL MANAGEMENT DASHBOARD  (FY2019 – FY2023)</t>
  </si>
  <si>
    <t>Revenue FY23</t>
  </si>
  <si>
    <t>PAT FY23</t>
  </si>
  <si>
    <t>Working Capital Cycle</t>
  </si>
  <si>
    <t>Current Ratio FY23</t>
  </si>
  <si>
    <t>Inventory Days FY23</t>
  </si>
  <si>
    <t>Interest Coverage</t>
  </si>
  <si>
    <t>₹1,29,007 Cr</t>
  </si>
  <si>
    <t>₹15,495 Cr</t>
  </si>
  <si>
    <t>32.3 Days</t>
  </si>
  <si>
    <t>0.73x</t>
  </si>
  <si>
    <t>66.8 Days</t>
  </si>
  <si>
    <t>3.95x</t>
  </si>
  <si>
    <t>↓ -0.01% YoY</t>
  </si>
  <si>
    <t>↓ -53.1% YoY</t>
  </si>
  <si>
    <t>↓ from 47.2 (FY19)</t>
  </si>
  <si>
    <t>↑ from 0.58 (FY22)</t>
  </si>
  <si>
    <t>↑ from 60.4 (FY22)</t>
  </si>
  <si>
    <t>↓ from 11.49 (FY22)</t>
  </si>
  <si>
    <t>Year</t>
  </si>
  <si>
    <t>Revenue</t>
  </si>
  <si>
    <t>PAT</t>
  </si>
  <si>
    <t>Inv Days</t>
  </si>
  <si>
    <t>Rec Days</t>
  </si>
  <si>
    <t>Pay Days</t>
  </si>
  <si>
    <t>WCC</t>
  </si>
  <si>
    <t>Current Ratio</t>
  </si>
  <si>
    <t>Quick Ratio</t>
  </si>
  <si>
    <t>Company</t>
  </si>
  <si>
    <t>FY23 WCC Days</t>
  </si>
  <si>
    <t>FY19</t>
  </si>
  <si>
    <t>Tata Steel</t>
  </si>
  <si>
    <t>FY20</t>
  </si>
  <si>
    <t>JSW Steel</t>
  </si>
  <si>
    <t>FY21</t>
  </si>
  <si>
    <t>Jindal S&amp;P</t>
  </si>
  <si>
    <t>FY22</t>
  </si>
  <si>
    <t>SAIL</t>
  </si>
  <si>
    <t>FY23</t>
  </si>
  <si>
    <t>WORKING CAPITAL MANAGEMENT</t>
  </si>
  <si>
    <t>A Comprehensive Financial Analysis of Tata Steel Limited</t>
  </si>
  <si>
    <t>FY 2018-19 to FY 2022-23  |  Standalone Financial Statements (INR Crores)</t>
  </si>
  <si>
    <t>Company:  Tata Steel Limited (NSE: TATASTEEL)</t>
  </si>
  <si>
    <t>Sector:  Steel – Iron &amp; Steel Manufacturing</t>
  </si>
  <si>
    <t>Period:  FY 2018-19 to FY 2022-23 (5 Years)</t>
  </si>
  <si>
    <t>Prepared By:  Internship Project – Finance / Strategy</t>
  </si>
  <si>
    <t>TABLE OF CONTENTS</t>
  </si>
  <si>
    <t xml:space="preserve">  1.  📊 Dashboard</t>
  </si>
  <si>
    <t>Interactive KPI Dashboard with Charts</t>
  </si>
  <si>
    <t xml:space="preserve">  2.  📁 Financial Statements</t>
  </si>
  <si>
    <t>Consolidated Balance Sheet, P&amp;L &amp; Cash Flow (FY19–23)</t>
  </si>
  <si>
    <t xml:space="preserve">  3.  ⚙️ WC Ratios</t>
  </si>
  <si>
    <t>Working Capital Ratios – Liquidity, Efficiency &amp; Profitability</t>
  </si>
  <si>
    <t xml:space="preserve">  4.  📦 Cost Sheet</t>
  </si>
  <si>
    <t>Cost of Production &amp; Cost of Goods Sold Analysis</t>
  </si>
  <si>
    <t xml:space="preserve">  5.  🏭 Peer Analysis</t>
  </si>
  <si>
    <t>Benchmarking: Tata Steel vs JSW, Jindal, SAIL</t>
  </si>
  <si>
    <t>KEY FINDINGS &amp; HIGHLIGHTS</t>
  </si>
  <si>
    <t>✦ Working Capital Cycle improved from 50.7 days (FY19) to 32.3 days (FY23) — a ~36% efficiency gain</t>
  </si>
  <si>
    <t>✦ Current Ratio remained below 1.0 throughout the period, reflecting aggressive payables management</t>
  </si>
  <si>
    <t>✦ Inventory Turnover averaged ~5.4x across the 5-year period, indicating stable operational efficiency</t>
  </si>
  <si>
    <t>✦ Debtors' Collection Period shortened from 57.6 days (FY19) to 57.6 days (FY23), with a low of 40.4 days (FY22)</t>
  </si>
  <si>
    <t>✦ FY22 was the peak profitability year — Net Profit Margin of 25.3% on ₹1.29 lakh crore revenue</t>
  </si>
  <si>
    <t>✦ Tata Steel maintains the lowest Working Capital Cycle among peers (JSW, Jindal, SAIL) as of FY23</t>
  </si>
  <si>
    <t>Source: Tata Steel Annual Reports (FY2019–FY2023)  |  All figures in INR Crores unless stated</t>
  </si>
  <si>
    <t>TATA STEEL LIMITED — STANDALONE FINANCIAL STATEMENTS (₹ Crores)</t>
  </si>
  <si>
    <t>BALANCE SHEET</t>
  </si>
  <si>
    <t>Particulars</t>
  </si>
  <si>
    <t>2018-19</t>
  </si>
  <si>
    <t>2019-20</t>
  </si>
  <si>
    <t>2020-21</t>
  </si>
  <si>
    <t>2021-22</t>
  </si>
  <si>
    <t>2022-23</t>
  </si>
  <si>
    <t>A. NON-CURRENT ASSETS</t>
  </si>
  <si>
    <t xml:space="preserve">  Property, Plant &amp; Equipment</t>
  </si>
  <si>
    <t xml:space="preserve">  Capital Work-in-Progress</t>
  </si>
  <si>
    <t xml:space="preserve">  Right-of-Use Assets</t>
  </si>
  <si>
    <t xml:space="preserve">  Intangible Assets</t>
  </si>
  <si>
    <t xml:space="preserve">  Investments (Non-Current)</t>
  </si>
  <si>
    <t xml:space="preserve">  Loans (Non-Current)</t>
  </si>
  <si>
    <t xml:space="preserve">  Other Non-Current Assets</t>
  </si>
  <si>
    <t>TOTAL NON-CURRENT ASSETS</t>
  </si>
  <si>
    <t>B. CURRENT ASSETS</t>
  </si>
  <si>
    <t xml:space="preserve">  Inventories</t>
  </si>
  <si>
    <t xml:space="preserve">  Trade Receivables</t>
  </si>
  <si>
    <t xml:space="preserve">  Cash &amp; Cash Equivalents</t>
  </si>
  <si>
    <t xml:space="preserve">  Current Investments</t>
  </si>
  <si>
    <t xml:space="preserve">  Other Current Assets</t>
  </si>
  <si>
    <t>TOTAL CURRENT ASSETS</t>
  </si>
  <si>
    <t>TOTAL ASSETS</t>
  </si>
  <si>
    <t>C. EQUITY</t>
  </si>
  <si>
    <t xml:space="preserve">  Equity Share Capital</t>
  </si>
  <si>
    <t xml:space="preserve">  Other Equity</t>
  </si>
  <si>
    <t>TOTAL EQUITY</t>
  </si>
  <si>
    <t>D. NON-CURRENT LIABILITIES</t>
  </si>
  <si>
    <t xml:space="preserve">  Long-term Borrowings</t>
  </si>
  <si>
    <t xml:space="preserve">  Deferred Tax Liabilities (Net)</t>
  </si>
  <si>
    <t xml:space="preserve">  Other Non-Current Liabilities</t>
  </si>
  <si>
    <t>TOTAL NON-CURRENT LIABILITIES</t>
  </si>
  <si>
    <t>E. CURRENT LIABILITIES</t>
  </si>
  <si>
    <t xml:space="preserve">  Short-term Borrowings</t>
  </si>
  <si>
    <t xml:space="preserve">  Trade Payables</t>
  </si>
  <si>
    <t xml:space="preserve">  Other Current Liabilities</t>
  </si>
  <si>
    <t>TOTAL CURRENT LIABILITIES</t>
  </si>
  <si>
    <t>TOTAL EQUITY &amp; LIABILITIES</t>
  </si>
  <si>
    <t>STATEMENT OF PROFIT &amp; LOSS</t>
  </si>
  <si>
    <t>I. Revenue from Operations</t>
  </si>
  <si>
    <t>II. Other Income</t>
  </si>
  <si>
    <t>III. TOTAL INCOME</t>
  </si>
  <si>
    <t>IV. EXPENSES</t>
  </si>
  <si>
    <t xml:space="preserve">  (a) Cost of Materials Consumed</t>
  </si>
  <si>
    <t xml:space="preserve">  (b) Purchases of Stock-in-Trade</t>
  </si>
  <si>
    <t xml:space="preserve">  (c) Changes in Inventories</t>
  </si>
  <si>
    <t xml:space="preserve">  (d) Employee Benefits Expense</t>
  </si>
  <si>
    <t xml:space="preserve">  (e) Finance Costs</t>
  </si>
  <si>
    <t xml:space="preserve">  (f) Depreciation &amp; Amortisation</t>
  </si>
  <si>
    <t xml:space="preserve">  (g) Other Expenses</t>
  </si>
  <si>
    <t>TOTAL EXPENSES</t>
  </si>
  <si>
    <t>V. Profit Before Exceptional Items &amp; Tax</t>
  </si>
  <si>
    <t>VI. Exceptional Items (Net)</t>
  </si>
  <si>
    <t>VII. PROFIT BEFORE TAX (PBT)</t>
  </si>
  <si>
    <t>VIII. Tax Expense (Net)</t>
  </si>
  <si>
    <t>IX. PROFIT AFTER TAX (PAT)</t>
  </si>
  <si>
    <t>X. Other Comprehensive Income/(Loss)</t>
  </si>
  <si>
    <t>XI. TOTAL COMPREHENSIVE INCOME</t>
  </si>
  <si>
    <t>Basic EPS (₹)</t>
  </si>
  <si>
    <t>Diluted EPS (₹)</t>
  </si>
  <si>
    <t>CASH FLOW STATEMENT (SUMMARY)</t>
  </si>
  <si>
    <t>A. Net Cash from Operating Activities</t>
  </si>
  <si>
    <t>B. Net Cash from Investing Activities</t>
  </si>
  <si>
    <t>C. Net Cash from Financing Activities</t>
  </si>
  <si>
    <t>NET INCREASE/(DECREASE) IN CASH</t>
  </si>
  <si>
    <t>Opening Cash &amp; Equivalents</t>
  </si>
  <si>
    <t>CLOSING CASH &amp; EQUIVALENTS</t>
  </si>
  <si>
    <t>Note: All figures in INR Crores. Source: Tata Steel Annual Reports FY2019–FY2023 (Standalone).</t>
  </si>
  <si>
    <t>TATA STEEL LIMITED — WORKING CAPITAL MANAGEMENT: RATIO ANALYSIS (₹ Crores)</t>
  </si>
  <si>
    <t>#</t>
  </si>
  <si>
    <t>Ratio / Metric</t>
  </si>
  <si>
    <t>Formula</t>
  </si>
  <si>
    <t>FY2019</t>
  </si>
  <si>
    <t>FY2020</t>
  </si>
  <si>
    <t>FY2021</t>
  </si>
  <si>
    <t>FY2022</t>
  </si>
  <si>
    <t>FY2023</t>
  </si>
  <si>
    <t>A.  LIQUIDITY RATIOS</t>
  </si>
  <si>
    <t>Current Assets / Current Liabilities</t>
  </si>
  <si>
    <t>Quick Ratio (Acid-Test)</t>
  </si>
  <si>
    <t>(Current Assets – Inventories) / Current Liabilities</t>
  </si>
  <si>
    <t>Cash Ratio</t>
  </si>
  <si>
    <t>Cash &amp; Equivalents / Current Liabilities</t>
  </si>
  <si>
    <t>Net Working Capital (₹ Cr)</t>
  </si>
  <si>
    <t>Current Assets – Current Liabilities</t>
  </si>
  <si>
    <t>B.  EFFICIENCY / ACTIVITY RATIOS</t>
  </si>
  <si>
    <t>Inventory Turnover Ratio</t>
  </si>
  <si>
    <t>COGS / Average Inventory</t>
  </si>
  <si>
    <t>Inventory Holding Period (Days)</t>
  </si>
  <si>
    <t>365 / Inventory Turnover Ratio</t>
  </si>
  <si>
    <t>Debtors' / Receivables Turnover Ratio</t>
  </si>
  <si>
    <t>Net Credit Sales / Average Trade Receivables</t>
  </si>
  <si>
    <t>Average Collection Period (Days)</t>
  </si>
  <si>
    <t>365 / Debtors' Turnover Ratio</t>
  </si>
  <si>
    <t>Creditors' / Payables Turnover Ratio</t>
  </si>
  <si>
    <t>COGS / Average Trade Payables</t>
  </si>
  <si>
    <t>Average Payment Period (Days)</t>
  </si>
  <si>
    <t>365 / Creditors' Turnover Ratio</t>
  </si>
  <si>
    <t>Asset Turnover Ratio</t>
  </si>
  <si>
    <t>Revenue from Operations / Total Assets</t>
  </si>
  <si>
    <t>Current Asset Turnover Ratio</t>
  </si>
  <si>
    <t>Revenue / Average Current Assets</t>
  </si>
  <si>
    <t>C.  WORKING CAPITAL / OPERATING CYCLE</t>
  </si>
  <si>
    <t>Gross Operating Cycle (Days)</t>
  </si>
  <si>
    <t>Inventory Days + Receivable Days</t>
  </si>
  <si>
    <t>Net Working Capital Cycle (Days)</t>
  </si>
  <si>
    <t>Gross Operating Cycle – Payable Days</t>
  </si>
  <si>
    <t>Working Capital Turnover Ratio</t>
  </si>
  <si>
    <t>Net Sales / Average Net Working Capital</t>
  </si>
  <si>
    <t>Interest Service Coverage Ratio</t>
  </si>
  <si>
    <t>EBIT / Net Finance Charges</t>
  </si>
  <si>
    <t>D.  PROFITABILITY RATIOS (RELEVANT TO WCM)</t>
  </si>
  <si>
    <t>Gross Profit Margin</t>
  </si>
  <si>
    <t>Gross Profit / Revenue × 100</t>
  </si>
  <si>
    <t>Net Profit Margin</t>
  </si>
  <si>
    <t>PAT / Revenue × 100</t>
  </si>
  <si>
    <t>Operating Profit Margin</t>
  </si>
  <si>
    <t>Operating Profit / Net Sales × 100</t>
  </si>
  <si>
    <t>Return on Capital Employed (ROCE)</t>
  </si>
  <si>
    <t>EBIT / Average Capital Employed × 100</t>
  </si>
  <si>
    <t>Return on Net Worth (RONW)</t>
  </si>
  <si>
    <t>PAT / Average Net Worth × 100</t>
  </si>
  <si>
    <t>E.  DEBT &amp; LEVERAGE RATIOS</t>
  </si>
  <si>
    <t>Debt-to-Equity Ratio</t>
  </si>
  <si>
    <t>Total Borrowings / Total Equity</t>
  </si>
  <si>
    <t>Net Debt-to-Equity Ratio</t>
  </si>
  <si>
    <t>Net Debt / Average Equity</t>
  </si>
  <si>
    <t>Short-term Debt-to-Equity Ratio</t>
  </si>
  <si>
    <t>Current Borrowings / Total Equity</t>
  </si>
  <si>
    <t>Short-term Debt Service Coverage Ratio</t>
  </si>
  <si>
    <t>EBITDA × (1 – Tax Rate) / Short-term Debt</t>
  </si>
  <si>
    <t>Notes: (1) NWC Cycle = Inventory Days + Receivable Days – Payable Days. (2) Negative NWC reflects payables-heavy model. (3) Source: Tata Steel Annual Reports FY2019–FY2023.</t>
  </si>
  <si>
    <t>TATA STEEL LIMITED — COST OF PRODUCTION &amp; COST OF GOODS SOLD (₹ Crores)</t>
  </si>
  <si>
    <t>I.  PRIME / DIRECT COSTS</t>
  </si>
  <si>
    <t xml:space="preserve">  (a) Raw Material Consumed</t>
  </si>
  <si>
    <t xml:space="preserve">  (b) Payment &amp; Provision for Employees</t>
  </si>
  <si>
    <t xml:space="preserve">  (c) Operations &amp; Other Expenses</t>
  </si>
  <si>
    <t xml:space="preserve">  Less: Commission</t>
  </si>
  <si>
    <t xml:space="preserve">  Less: Provision for Wealth Tax</t>
  </si>
  <si>
    <t xml:space="preserve">  (d) Freight &amp; Handling Charges</t>
  </si>
  <si>
    <t xml:space="preserve">  (e) Excise Duty</t>
  </si>
  <si>
    <t xml:space="preserve">  (f) Depreciation</t>
  </si>
  <si>
    <t>PRIME COST</t>
  </si>
  <si>
    <t>II.  WORK-IN-PROGRESS ADJUSTMENT</t>
  </si>
  <si>
    <t xml:space="preserve">  (+) Opening Stock of WIP</t>
  </si>
  <si>
    <t xml:space="preserve">  (-) Closing Stock of WIP</t>
  </si>
  <si>
    <t>FACTORY COST / COST OF PRODUCTION</t>
  </si>
  <si>
    <t>III.  FINISHED GOODS ADJUSTMENT</t>
  </si>
  <si>
    <t xml:space="preserve">  (+) Opening Stock of Finished Goods</t>
  </si>
  <si>
    <t xml:space="preserve">  (+) Purchases of Finished Goods</t>
  </si>
  <si>
    <t xml:space="preserve">  (-) Closing Stock of Finished Goods</t>
  </si>
  <si>
    <t>COST OF PRODUCTION (After FG Adj.)</t>
  </si>
  <si>
    <t>IV.  ADJUSTMENTS TO ARRIVE AT COGS</t>
  </si>
  <si>
    <t xml:space="preserve">  (-) Other Income</t>
  </si>
  <si>
    <t xml:space="preserve">  (+) Provision for Doubtful Debts</t>
  </si>
  <si>
    <t xml:space="preserve">  (-) Capitalised Expenditure</t>
  </si>
  <si>
    <t xml:space="preserve">  (+) Provision for Wealth Tax</t>
  </si>
  <si>
    <t xml:space="preserve">  (+) Net Finance Charges</t>
  </si>
  <si>
    <t>COST OF GOODS SOLD (COGS)</t>
  </si>
  <si>
    <t>V.  PROFITABILITY CHECK</t>
  </si>
  <si>
    <t>Profit Before Tax (PBT)</t>
  </si>
  <si>
    <t>Net Sales (Revenue Recognised)</t>
  </si>
  <si>
    <t>COGS / Net Sales (%)</t>
  </si>
  <si>
    <t>Note: Figures in INR Crores. WIP/FG stock figures estimated from annual report notes and inventory break-ups.</t>
  </si>
  <si>
    <t>PEER BENCHMARKING — TATA STEEL vs. JSW STEEL vs. JINDAL STEEL &amp; POWER vs. SAIL</t>
  </si>
  <si>
    <t>A.  NET WORKING CAPITAL CYCLE (Days)</t>
  </si>
  <si>
    <t>B.  INVENTORY DAYS</t>
  </si>
  <si>
    <t>C.  RECEIVABLE DAYS</t>
  </si>
  <si>
    <t>D.  NET PROFIT MARGIN (%)</t>
  </si>
  <si>
    <t>E.  NET WORTH (₹ Crores)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</si>
</sst>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20" x14ac:knownFonts="1">
    <font>
      <sz val="11"/>
      <color theme="1"/>
      <name val="Calibri"/>
      <family val="2"/>
      <charset val="1"/>
    </font>
    <font>
      <b/>
      <sz val="16"/>
      <color rgb="FFC8A84B"/>
      <name val="Arial"/>
      <family val="2"/>
    </font>
    <font>
      <b/>
      <sz val="9"/>
      <color rgb="FF4A4A4A"/>
      <name val="Arial"/>
      <family val="2"/>
    </font>
    <font>
      <b/>
      <sz val="16"/>
      <color rgb="FF217346"/>
      <name val="Arial"/>
      <family val="2"/>
    </font>
    <font>
      <b/>
      <sz val="16"/>
      <color rgb="FFC0392B"/>
      <name val="Arial"/>
      <family val="2"/>
    </font>
    <font>
      <b/>
      <sz val="16"/>
      <color rgb="FFF39C12"/>
      <name val="Arial"/>
      <family val="2"/>
    </font>
    <font>
      <sz val="8"/>
      <color rgb="FF4A4A4A"/>
      <name val="Arial"/>
      <family val="2"/>
    </font>
    <font>
      <b/>
      <sz val="28"/>
      <color rgb="FFC8A84B"/>
      <name val="Arial"/>
      <family val="2"/>
    </font>
    <font>
      <i/>
      <sz val="16"/>
      <color rgb="FFFFFFFF"/>
      <name val="Arial"/>
      <family val="2"/>
    </font>
    <font>
      <sz val="11"/>
      <color rgb="FFD6E4F7"/>
      <name val="Arial"/>
      <family val="2"/>
    </font>
    <font>
      <sz val="11"/>
      <color rgb="FF4A4A4A"/>
      <name val="Arial"/>
      <family val="2"/>
    </font>
    <font>
      <b/>
      <sz val="13"/>
      <color rgb="FFFFFFFF"/>
      <name val="Arial"/>
      <family val="2"/>
    </font>
    <font>
      <b/>
      <sz val="11"/>
      <color rgb="FF2E6DAD"/>
      <name val="Arial"/>
      <family val="2"/>
    </font>
    <font>
      <sz val="10"/>
      <color rgb="FF4A4A4A"/>
      <name val="Arial"/>
      <family val="2"/>
    </font>
    <font>
      <i/>
      <sz val="9"/>
      <color rgb="FF888888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A4A4A"/>
      <name val="Arial"/>
      <family val="2"/>
    </font>
    <font>
      <b/>
      <sz val="10"/>
      <color rgb="FF1A3A6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6C"/>
        <bgColor rgb="FF333399"/>
      </patternFill>
    </fill>
    <fill>
      <patternFill patternType="solid">
        <fgColor rgb="FFC8A84B"/>
        <bgColor rgb="FFF39C12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6DAD"/>
        <bgColor rgb="FF3366FF"/>
      </patternFill>
    </fill>
    <fill>
      <patternFill patternType="solid">
        <fgColor rgb="FFD6E4F7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2" fillId="5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17" fillId="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 wrapText="1"/>
    </xf>
    <xf numFmtId="4" fontId="13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 wrapText="1"/>
    </xf>
    <xf numFmtId="4" fontId="13" fillId="5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left" vertical="center" wrapText="1"/>
    </xf>
    <xf numFmtId="4" fontId="19" fillId="3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right" vertical="center"/>
    </xf>
    <xf numFmtId="4" fontId="18" fillId="5" borderId="1" xfId="0" applyNumberFormat="1" applyFont="1" applyFill="1" applyBorder="1" applyAlignment="1">
      <alignment horizontal="right" vertical="center"/>
    </xf>
    <xf numFmtId="4" fontId="18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10" fontId="13" fillId="5" borderId="1" xfId="0" applyNumberFormat="1" applyFont="1" applyFill="1" applyBorder="1" applyAlignment="1">
      <alignment horizontal="right" vertical="center"/>
    </xf>
    <xf numFmtId="10" fontId="13" fillId="4" borderId="1" xfId="0" applyNumberFormat="1" applyFont="1" applyFill="1" applyBorder="1" applyAlignment="1">
      <alignment horizontal="right" vertical="center"/>
    </xf>
    <xf numFmtId="10" fontId="19" fillId="3" borderId="1" xfId="0" applyNumberFormat="1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left" vertical="center" wrapText="1"/>
    </xf>
    <xf numFmtId="2" fontId="19" fillId="7" borderId="1" xfId="0" applyNumberFormat="1" applyFont="1" applyFill="1" applyBorder="1" applyAlignment="1">
      <alignment horizontal="right" vertical="center"/>
    </xf>
    <xf numFmtId="2" fontId="13" fillId="5" borderId="1" xfId="0" applyNumberFormat="1" applyFont="1" applyFill="1" applyBorder="1" applyAlignment="1">
      <alignment horizontal="right" vertical="center"/>
    </xf>
    <xf numFmtId="2" fontId="13" fillId="4" borderId="1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FBFBF"/>
      <rgbColor rgb="FF878787"/>
      <rgbColor rgb="FF9999FF"/>
      <rgbColor rgb="FF8E44AD"/>
      <rgbColor rgb="FFF9F9F9"/>
      <rgbColor rgb="FFD6E4F7"/>
      <rgbColor rgb="FF660066"/>
      <rgbColor rgb="FFFF8080"/>
      <rgbColor rgb="FF2E6DA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C8A84B"/>
      <rgbColor rgb="FFFFCC00"/>
      <rgbColor rgb="FFF39C12"/>
      <rgbColor rgb="FFE67E22"/>
      <rgbColor rgb="FF666699"/>
      <rgbColor rgb="FF888888"/>
      <rgbColor rgb="FF1A3A6C"/>
      <rgbColor rgb="FF339966"/>
      <rgbColor rgb="FF003300"/>
      <rgbColor rgb="FF333300"/>
      <rgbColor rgb="FFC0392B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from Operations &amp; PAT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Dashboard'!$B$56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A3A6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Dashboard'!$A$57:$A$61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Dashboard'!$B$57:$B$61</c:f>
              <c:numCache>
                <c:formatCode>General</c:formatCode>
                <c:ptCount val="5"/>
                <c:pt idx="0">
                  <c:v>70610.92</c:v>
                </c:pt>
                <c:pt idx="1">
                  <c:v>60435.97</c:v>
                </c:pt>
                <c:pt idx="2">
                  <c:v>64869</c:v>
                </c:pt>
                <c:pt idx="3">
                  <c:v>129021.35</c:v>
                </c:pt>
                <c:pt idx="4">
                  <c:v>129006.62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A-4CD8-82B9-FF94F84B9E05}"/>
            </c:ext>
          </c:extLst>
        </c:ser>
        <c:ser>
          <c:idx val="1"/>
          <c:order val="1"/>
          <c:tx>
            <c:strRef>
              <c:f>'📊 Dashboard'!$C$56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C8A8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Dashboard'!$A$57:$A$61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Dashboard'!$C$57:$C$61</c:f>
              <c:numCache>
                <c:formatCode>General</c:formatCode>
                <c:ptCount val="5"/>
                <c:pt idx="0">
                  <c:v>10533.19</c:v>
                </c:pt>
                <c:pt idx="1">
                  <c:v>6743.8</c:v>
                </c:pt>
                <c:pt idx="2">
                  <c:v>13606.62</c:v>
                </c:pt>
                <c:pt idx="3">
                  <c:v>33011.18</c:v>
                </c:pt>
                <c:pt idx="4">
                  <c:v>15495.11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A-4CD8-82B9-FF94F84B9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252257"/>
        <c:axId val="79554022"/>
      </c:barChart>
      <c:catAx>
        <c:axId val="30252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54022"/>
        <c:crosses val="autoZero"/>
        <c:auto val="1"/>
        <c:lblAlgn val="ctr"/>
        <c:lblOffset val="100"/>
        <c:noMultiLvlLbl val="0"/>
      </c:catAx>
      <c:valAx>
        <c:axId val="79554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52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Working Capital Cycle Components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Dashboard'!$F$56</c:f>
              <c:strCache>
                <c:ptCount val="1"/>
                <c:pt idx="0">
                  <c:v>Inv Days</c:v>
                </c:pt>
              </c:strCache>
            </c:strRef>
          </c:tx>
          <c:spPr>
            <a:solidFill>
              <a:srgbClr val="2E6D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Dashboard'!$E$57:$E$61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Dashboard'!$F$57:$F$61</c:f>
              <c:numCache>
                <c:formatCode>General</c:formatCode>
                <c:ptCount val="5"/>
                <c:pt idx="0">
                  <c:v>71.599999999999994</c:v>
                </c:pt>
                <c:pt idx="1">
                  <c:v>74.040000000000006</c:v>
                </c:pt>
                <c:pt idx="2">
                  <c:v>70.08</c:v>
                </c:pt>
                <c:pt idx="3">
                  <c:v>60.35</c:v>
                </c:pt>
                <c:pt idx="4">
                  <c:v>66.790000000000006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6-46A4-91A0-BDBA3F2538BC}"/>
            </c:ext>
          </c:extLst>
        </c:ser>
        <c:ser>
          <c:idx val="1"/>
          <c:order val="1"/>
          <c:tx>
            <c:strRef>
              <c:f>'📊 Dashboard'!$G$56</c:f>
              <c:strCache>
                <c:ptCount val="1"/>
                <c:pt idx="0">
                  <c:v>Rec Days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Dashboard'!$E$57:$E$61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Dashboard'!$G$57:$G$61</c:f>
              <c:numCache>
                <c:formatCode>General</c:formatCode>
                <c:ptCount val="5"/>
                <c:pt idx="0">
                  <c:v>57.58</c:v>
                </c:pt>
                <c:pt idx="1">
                  <c:v>66.349999999999994</c:v>
                </c:pt>
                <c:pt idx="2">
                  <c:v>54.36</c:v>
                </c:pt>
                <c:pt idx="3">
                  <c:v>40.380000000000003</c:v>
                </c:pt>
                <c:pt idx="4">
                  <c:v>57.63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6-46A4-91A0-BDBA3F2538BC}"/>
            </c:ext>
          </c:extLst>
        </c:ser>
        <c:ser>
          <c:idx val="2"/>
          <c:order val="2"/>
          <c:tx>
            <c:strRef>
              <c:f>'📊 Dashboard'!$H$56</c:f>
              <c:strCache>
                <c:ptCount val="1"/>
                <c:pt idx="0">
                  <c:v>Pay Days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Dashboard'!$E$57:$E$61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Dashboard'!$H$57:$H$61</c:f>
              <c:numCache>
                <c:formatCode>General</c:formatCode>
                <c:ptCount val="5"/>
                <c:pt idx="0">
                  <c:v>82.01</c:v>
                </c:pt>
                <c:pt idx="1">
                  <c:v>82.05</c:v>
                </c:pt>
                <c:pt idx="2">
                  <c:v>87.78</c:v>
                </c:pt>
                <c:pt idx="3">
                  <c:v>75.459999999999994</c:v>
                </c:pt>
                <c:pt idx="4">
                  <c:v>77.66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6-46A4-91A0-BDBA3F2538BC}"/>
            </c:ext>
          </c:extLst>
        </c:ser>
        <c:ser>
          <c:idx val="3"/>
          <c:order val="3"/>
          <c:tx>
            <c:strRef>
              <c:f>'📊 Dashboard'!$I$56</c:f>
              <c:strCache>
                <c:ptCount val="1"/>
                <c:pt idx="0">
                  <c:v>WCC</c:v>
                </c:pt>
              </c:strCache>
            </c:strRef>
          </c:tx>
          <c:spPr>
            <a:solidFill>
              <a:srgbClr val="C8A84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Dashboard'!$E$57:$E$61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Dashboard'!$I$57:$I$61</c:f>
              <c:numCache>
                <c:formatCode>General</c:formatCode>
                <c:ptCount val="5"/>
                <c:pt idx="0">
                  <c:v>47.17</c:v>
                </c:pt>
                <c:pt idx="1">
                  <c:v>58.33</c:v>
                </c:pt>
                <c:pt idx="2">
                  <c:v>36.65</c:v>
                </c:pt>
                <c:pt idx="3">
                  <c:v>25.28</c:v>
                </c:pt>
                <c:pt idx="4">
                  <c:v>46.76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6-46A4-91A0-BDBA3F25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43369"/>
        <c:axId val="80794567"/>
      </c:barChart>
      <c:catAx>
        <c:axId val="724433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794567"/>
        <c:crosses val="autoZero"/>
        <c:auto val="1"/>
        <c:lblAlgn val="ctr"/>
        <c:lblOffset val="100"/>
        <c:noMultiLvlLbl val="0"/>
      </c:catAx>
      <c:valAx>
        <c:axId val="80794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43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Liquidity Ratios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Dashboard'!$L$56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4840">
              <a:solidFill>
                <a:srgbClr val="1A3A6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Dashboard'!$K$57:$K$61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Dashboard'!$L$57:$L$61</c:f>
              <c:numCache>
                <c:formatCode>General</c:formatCode>
                <c:ptCount val="5"/>
                <c:pt idx="0">
                  <c:v>0.66561700000000001</c:v>
                </c:pt>
                <c:pt idx="1">
                  <c:v>0.64652399999999999</c:v>
                </c:pt>
                <c:pt idx="2">
                  <c:v>0.79734000000000005</c:v>
                </c:pt>
                <c:pt idx="3">
                  <c:v>0.58305499999999999</c:v>
                </c:pt>
                <c:pt idx="4">
                  <c:v>0.73108300000000004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39-45AA-B907-33D5C1BC65B2}"/>
            </c:ext>
          </c:extLst>
        </c:ser>
        <c:ser>
          <c:idx val="1"/>
          <c:order val="1"/>
          <c:tx>
            <c:strRef>
              <c:f>'📊 Dashboard'!$M$56</c:f>
              <c:strCache>
                <c:ptCount val="1"/>
                <c:pt idx="0">
                  <c:v>Quick Ratio</c:v>
                </c:pt>
              </c:strCache>
            </c:strRef>
          </c:tx>
          <c:spPr>
            <a:ln w="24840">
              <a:solidFill>
                <a:srgbClr val="C8A8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Dashboard'!$K$57:$K$61</c:f>
              <c:strCache>
                <c:ptCount val="5"/>
                <c:pt idx="0">
                  <c:v>FY19</c:v>
                </c:pt>
                <c:pt idx="1">
                  <c:v>FY20</c:v>
                </c:pt>
                <c:pt idx="2">
                  <c:v>FY21</c:v>
                </c:pt>
                <c:pt idx="3">
                  <c:v>FY22</c:v>
                </c:pt>
                <c:pt idx="4">
                  <c:v>FY23</c:v>
                </c:pt>
              </c:strCache>
            </c:strRef>
          </c:cat>
          <c:val>
            <c:numRef>
              <c:f>'📊 Dashboard'!$M$57:$M$61</c:f>
              <c:numCache>
                <c:formatCode>General</c:formatCode>
                <c:ptCount val="5"/>
                <c:pt idx="0">
                  <c:v>0.22584699999999999</c:v>
                </c:pt>
                <c:pt idx="1">
                  <c:v>0.29938399999999998</c:v>
                </c:pt>
                <c:pt idx="2">
                  <c:v>0.50382899999999997</c:v>
                </c:pt>
                <c:pt idx="3">
                  <c:v>0.21143500000000001</c:v>
                </c:pt>
                <c:pt idx="4">
                  <c:v>0.28326299999999999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39-45AA-B907-33D5C1BC6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008383"/>
        <c:axId val="30469206"/>
      </c:lineChart>
      <c:catAx>
        <c:axId val="470083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69206"/>
        <c:crosses val="autoZero"/>
        <c:auto val="1"/>
        <c:lblAlgn val="ctr"/>
        <c:lblOffset val="100"/>
        <c:noMultiLvlLbl val="0"/>
      </c:catAx>
      <c:valAx>
        <c:axId val="304692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Ratio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08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Peer Comparison: FY2023 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'📊 Dashboard'!$P$56</c:f>
              <c:strCache>
                <c:ptCount val="1"/>
                <c:pt idx="0">
                  <c:v>FY23 WCC Days</c:v>
                </c:pt>
              </c:strCache>
            </c:strRef>
          </c:tx>
          <c:spPr>
            <a:solidFill>
              <a:srgbClr val="2E6D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Dashboard'!$O$57:$O$60</c:f>
              <c:strCache>
                <c:ptCount val="4"/>
                <c:pt idx="0">
                  <c:v>Tata Steel</c:v>
                </c:pt>
                <c:pt idx="1">
                  <c:v>JSW Steel</c:v>
                </c:pt>
                <c:pt idx="2">
                  <c:v>Jindal S&amp;P</c:v>
                </c:pt>
                <c:pt idx="3">
                  <c:v>SAIL</c:v>
                </c:pt>
              </c:strCache>
            </c:strRef>
          </c:cat>
          <c:val>
            <c:numRef>
              <c:f>'📊 Dashboard'!$P$57:$P$60</c:f>
              <c:numCache>
                <c:formatCode>General</c:formatCode>
                <c:ptCount val="4"/>
                <c:pt idx="0">
                  <c:v>32.340000000000003</c:v>
                </c:pt>
                <c:pt idx="1">
                  <c:v>45.12</c:v>
                </c:pt>
                <c:pt idx="2">
                  <c:v>71.28</c:v>
                </c:pt>
                <c:pt idx="3">
                  <c:v>39.17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A-4236-8FCD-FC58FBB2C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85970"/>
        <c:axId val="91332598"/>
      </c:barChart>
      <c:catAx>
        <c:axId val="2658597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332598"/>
        <c:crosses val="autoZero"/>
        <c:auto val="1"/>
        <c:lblAlgn val="ctr"/>
        <c:lblOffset val="100"/>
        <c:noMultiLvlLbl val="0"/>
      </c:catAx>
      <c:valAx>
        <c:axId val="913325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85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262080</xdr:colOff>
      <xdr:row>29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17</xdr:col>
      <xdr:colOff>262080</xdr:colOff>
      <xdr:row>29</xdr:row>
      <xdr:rowOff>149760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262080</xdr:colOff>
      <xdr:row>52</xdr:row>
      <xdr:rowOff>149760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17</xdr:col>
      <xdr:colOff>262080</xdr:colOff>
      <xdr:row>52</xdr:row>
      <xdr:rowOff>149760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6C"/>
  </sheetPr>
  <dimension ref="A1:U61"/>
  <sheetViews>
    <sheetView showGridLines="0" topLeftCell="A33" zoomScaleNormal="100" workbookViewId="0">
      <selection activeCell="B57" sqref="B57"/>
    </sheetView>
  </sheetViews>
  <sheetFormatPr defaultColWidth="8.69140625" defaultRowHeight="14.6" x14ac:dyDescent="0.4"/>
  <cols>
    <col min="1" max="1" width="2" customWidth="1"/>
    <col min="2" max="20" width="13" customWidth="1"/>
    <col min="21" max="21" width="2" customWidth="1"/>
  </cols>
  <sheetData>
    <row r="1" spans="1:21" ht="9.75" customHeight="1" x14ac:dyDescent="0.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30" customHeight="1" x14ac:dyDescent="0.4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1:21" ht="15" customHeight="1" x14ac:dyDescent="0.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3.75" customHeight="1" x14ac:dyDescent="0.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8" customHeight="1" x14ac:dyDescent="0.4">
      <c r="B5" s="13" t="s">
        <v>1</v>
      </c>
      <c r="C5" s="13"/>
      <c r="D5" s="13"/>
      <c r="E5" s="13" t="s">
        <v>2</v>
      </c>
      <c r="F5" s="13"/>
      <c r="G5" s="13"/>
      <c r="H5" s="13" t="s">
        <v>3</v>
      </c>
      <c r="I5" s="13"/>
      <c r="J5" s="13"/>
      <c r="K5" s="13" t="s">
        <v>4</v>
      </c>
      <c r="L5" s="13"/>
      <c r="M5" s="13"/>
      <c r="N5" s="13" t="s">
        <v>5</v>
      </c>
      <c r="O5" s="13"/>
      <c r="P5" s="13"/>
      <c r="Q5" s="13" t="s">
        <v>6</v>
      </c>
      <c r="R5" s="13"/>
      <c r="S5" s="13"/>
    </row>
    <row r="6" spans="1:21" ht="18" customHeight="1" x14ac:dyDescent="0.4">
      <c r="B6" s="12" t="s">
        <v>7</v>
      </c>
      <c r="C6" s="12"/>
      <c r="D6" s="12"/>
      <c r="E6" s="11" t="s">
        <v>8</v>
      </c>
      <c r="F6" s="11"/>
      <c r="G6" s="11"/>
      <c r="H6" s="12" t="s">
        <v>9</v>
      </c>
      <c r="I6" s="12"/>
      <c r="J6" s="12"/>
      <c r="K6" s="12" t="s">
        <v>10</v>
      </c>
      <c r="L6" s="12"/>
      <c r="M6" s="12"/>
      <c r="N6" s="10" t="s">
        <v>11</v>
      </c>
      <c r="O6" s="10"/>
      <c r="P6" s="10"/>
      <c r="Q6" s="11" t="s">
        <v>12</v>
      </c>
      <c r="R6" s="11"/>
      <c r="S6" s="11"/>
    </row>
    <row r="7" spans="1:21" ht="18" customHeight="1" x14ac:dyDescent="0.4">
      <c r="B7" s="12"/>
      <c r="C7" s="12"/>
      <c r="D7" s="12"/>
      <c r="E7" s="11"/>
      <c r="F7" s="11"/>
      <c r="G7" s="11"/>
      <c r="H7" s="12"/>
      <c r="I7" s="12"/>
      <c r="J7" s="12"/>
      <c r="K7" s="12"/>
      <c r="L7" s="12"/>
      <c r="M7" s="12"/>
      <c r="N7" s="10"/>
      <c r="O7" s="10"/>
      <c r="P7" s="10"/>
      <c r="Q7" s="11"/>
      <c r="R7" s="11"/>
      <c r="S7" s="11"/>
    </row>
    <row r="8" spans="1:21" ht="18" customHeight="1" x14ac:dyDescent="0.4">
      <c r="B8" s="9" t="s">
        <v>13</v>
      </c>
      <c r="C8" s="9"/>
      <c r="D8" s="9"/>
      <c r="E8" s="9" t="s">
        <v>14</v>
      </c>
      <c r="F8" s="9"/>
      <c r="G8" s="9"/>
      <c r="H8" s="9" t="s">
        <v>15</v>
      </c>
      <c r="I8" s="9"/>
      <c r="J8" s="9"/>
      <c r="K8" s="9" t="s">
        <v>16</v>
      </c>
      <c r="L8" s="9"/>
      <c r="M8" s="9"/>
      <c r="N8" s="9" t="s">
        <v>17</v>
      </c>
      <c r="O8" s="9"/>
      <c r="P8" s="9"/>
      <c r="Q8" s="9" t="s">
        <v>18</v>
      </c>
      <c r="R8" s="9"/>
      <c r="S8" s="9"/>
    </row>
    <row r="9" spans="1:21" ht="12" customHeight="1" x14ac:dyDescent="0.4"/>
    <row r="56" spans="1:16" x14ac:dyDescent="0.4">
      <c r="A56" t="s">
        <v>19</v>
      </c>
      <c r="B56" t="s">
        <v>20</v>
      </c>
      <c r="C56" t="s">
        <v>21</v>
      </c>
      <c r="E56" t="s">
        <v>19</v>
      </c>
      <c r="F56" t="s">
        <v>22</v>
      </c>
      <c r="G56" t="s">
        <v>23</v>
      </c>
      <c r="H56" t="s">
        <v>24</v>
      </c>
      <c r="I56" t="s">
        <v>25</v>
      </c>
      <c r="K56" t="s">
        <v>19</v>
      </c>
      <c r="L56" t="s">
        <v>26</v>
      </c>
      <c r="M56" t="s">
        <v>27</v>
      </c>
      <c r="O56" t="s">
        <v>28</v>
      </c>
      <c r="P56" t="s">
        <v>29</v>
      </c>
    </row>
    <row r="57" spans="1:16" x14ac:dyDescent="0.4">
      <c r="A57" t="s">
        <v>30</v>
      </c>
      <c r="B57">
        <v>70610.92</v>
      </c>
      <c r="C57">
        <v>10533.19</v>
      </c>
      <c r="E57" t="s">
        <v>30</v>
      </c>
      <c r="F57">
        <v>71.599999999999994</v>
      </c>
      <c r="G57">
        <v>57.58</v>
      </c>
      <c r="H57">
        <v>82.01</v>
      </c>
      <c r="I57">
        <v>47.17</v>
      </c>
      <c r="K57" t="s">
        <v>30</v>
      </c>
      <c r="L57">
        <v>0.66561700000000001</v>
      </c>
      <c r="M57">
        <v>0.22584699999999999</v>
      </c>
      <c r="O57" t="s">
        <v>31</v>
      </c>
      <c r="P57">
        <v>32.340000000000003</v>
      </c>
    </row>
    <row r="58" spans="1:16" x14ac:dyDescent="0.4">
      <c r="A58" t="s">
        <v>32</v>
      </c>
      <c r="B58">
        <v>60435.97</v>
      </c>
      <c r="C58">
        <v>6743.8</v>
      </c>
      <c r="E58" t="s">
        <v>32</v>
      </c>
      <c r="F58">
        <v>74.040000000000006</v>
      </c>
      <c r="G58">
        <v>66.349999999999994</v>
      </c>
      <c r="H58">
        <v>82.05</v>
      </c>
      <c r="I58">
        <v>58.33</v>
      </c>
      <c r="K58" t="s">
        <v>32</v>
      </c>
      <c r="L58">
        <v>0.64652399999999999</v>
      </c>
      <c r="M58">
        <v>0.29938399999999998</v>
      </c>
      <c r="O58" t="s">
        <v>33</v>
      </c>
      <c r="P58">
        <v>45.12</v>
      </c>
    </row>
    <row r="59" spans="1:16" x14ac:dyDescent="0.4">
      <c r="A59" t="s">
        <v>34</v>
      </c>
      <c r="B59">
        <v>64869</v>
      </c>
      <c r="C59">
        <v>13606.62</v>
      </c>
      <c r="E59" t="s">
        <v>34</v>
      </c>
      <c r="F59">
        <v>70.08</v>
      </c>
      <c r="G59">
        <v>54.36</v>
      </c>
      <c r="H59">
        <v>87.78</v>
      </c>
      <c r="I59">
        <v>36.65</v>
      </c>
      <c r="K59" t="s">
        <v>34</v>
      </c>
      <c r="L59">
        <v>0.79734000000000005</v>
      </c>
      <c r="M59">
        <v>0.50382899999999997</v>
      </c>
      <c r="O59" t="s">
        <v>35</v>
      </c>
      <c r="P59">
        <v>71.28</v>
      </c>
    </row>
    <row r="60" spans="1:16" x14ac:dyDescent="0.4">
      <c r="A60" t="s">
        <v>36</v>
      </c>
      <c r="B60">
        <v>129021.35</v>
      </c>
      <c r="C60">
        <v>33011.18</v>
      </c>
      <c r="E60" t="s">
        <v>36</v>
      </c>
      <c r="F60">
        <v>60.35</v>
      </c>
      <c r="G60">
        <v>40.380000000000003</v>
      </c>
      <c r="H60">
        <v>75.459999999999994</v>
      </c>
      <c r="I60">
        <v>25.28</v>
      </c>
      <c r="K60" t="s">
        <v>36</v>
      </c>
      <c r="L60">
        <v>0.58305499999999999</v>
      </c>
      <c r="M60">
        <v>0.21143500000000001</v>
      </c>
      <c r="O60" t="s">
        <v>37</v>
      </c>
      <c r="P60">
        <v>39.17</v>
      </c>
    </row>
    <row r="61" spans="1:16" x14ac:dyDescent="0.4">
      <c r="A61" t="s">
        <v>38</v>
      </c>
      <c r="B61">
        <v>129006.62</v>
      </c>
      <c r="C61">
        <v>15495.11</v>
      </c>
      <c r="E61" t="s">
        <v>38</v>
      </c>
      <c r="F61">
        <v>66.790000000000006</v>
      </c>
      <c r="G61">
        <v>57.63</v>
      </c>
      <c r="H61">
        <v>77.66</v>
      </c>
      <c r="I61">
        <v>46.76</v>
      </c>
      <c r="K61" t="s">
        <v>38</v>
      </c>
      <c r="L61">
        <v>0.73108300000000004</v>
      </c>
      <c r="M61">
        <v>0.28326299999999999</v>
      </c>
    </row>
  </sheetData>
  <mergeCells count="19">
    <mergeCell ref="Q6:S7"/>
    <mergeCell ref="B8:D8"/>
    <mergeCell ref="E8:G8"/>
    <mergeCell ref="H8:J8"/>
    <mergeCell ref="K8:M8"/>
    <mergeCell ref="N8:P8"/>
    <mergeCell ref="Q8:S8"/>
    <mergeCell ref="B6:D7"/>
    <mergeCell ref="E6:G7"/>
    <mergeCell ref="H6:J7"/>
    <mergeCell ref="K6:M7"/>
    <mergeCell ref="N6:P7"/>
    <mergeCell ref="B2:T2"/>
    <mergeCell ref="B5:D5"/>
    <mergeCell ref="E5:G5"/>
    <mergeCell ref="H5:J5"/>
    <mergeCell ref="K5:M5"/>
    <mergeCell ref="N5:P5"/>
    <mergeCell ref="Q5:S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84B"/>
  </sheetPr>
  <dimension ref="A1:N49"/>
  <sheetViews>
    <sheetView showGridLines="0" topLeftCell="A5" zoomScaleNormal="100" workbookViewId="0"/>
  </sheetViews>
  <sheetFormatPr defaultColWidth="8.69140625" defaultRowHeight="14.6" x14ac:dyDescent="0.4"/>
  <cols>
    <col min="1" max="2" width="3" customWidth="1"/>
    <col min="3" max="13" width="10" customWidth="1"/>
    <col min="14" max="14" width="3" customWidth="1"/>
  </cols>
  <sheetData>
    <row r="1" spans="1:14" ht="9.75" customHeight="1" x14ac:dyDescent="0.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5" customHeight="1" x14ac:dyDescent="0.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49.5" customHeight="1" x14ac:dyDescent="0.4">
      <c r="A3" s="15"/>
      <c r="B3" s="8" t="s">
        <v>39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5"/>
    </row>
    <row r="4" spans="1:14" ht="34.5" customHeight="1" x14ac:dyDescent="0.4">
      <c r="A4" s="15"/>
      <c r="B4" s="7" t="s">
        <v>40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5"/>
    </row>
    <row r="5" spans="1:14" ht="24.75" customHeight="1" x14ac:dyDescent="0.4">
      <c r="A5" s="15"/>
      <c r="B5" s="6" t="s">
        <v>41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5"/>
    </row>
    <row r="6" spans="1:14" ht="24.75" customHeigh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4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3.75" customHeight="1" x14ac:dyDescent="0.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x14ac:dyDescent="0.4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30" customHeight="1" x14ac:dyDescent="0.4">
      <c r="A10" s="17"/>
      <c r="B10" s="5" t="s">
        <v>42</v>
      </c>
      <c r="C10" s="5"/>
      <c r="D10" s="5"/>
      <c r="E10" s="5"/>
      <c r="F10" s="5"/>
      <c r="G10" s="17"/>
      <c r="H10" s="5" t="s">
        <v>43</v>
      </c>
      <c r="I10" s="5"/>
      <c r="J10" s="5"/>
      <c r="K10" s="5"/>
      <c r="L10" s="5"/>
      <c r="M10" s="5"/>
      <c r="N10" s="17"/>
    </row>
    <row r="11" spans="1:14" ht="24.75" customHeight="1" x14ac:dyDescent="0.4">
      <c r="A11" s="17"/>
      <c r="B11" s="5" t="s">
        <v>44</v>
      </c>
      <c r="C11" s="5"/>
      <c r="D11" s="5"/>
      <c r="E11" s="5"/>
      <c r="F11" s="5"/>
      <c r="G11" s="17"/>
      <c r="H11" s="5" t="s">
        <v>45</v>
      </c>
      <c r="I11" s="5"/>
      <c r="J11" s="5"/>
      <c r="K11" s="5"/>
      <c r="L11" s="5"/>
      <c r="M11" s="5"/>
      <c r="N11" s="17"/>
    </row>
    <row r="12" spans="1:14" x14ac:dyDescent="0.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24.75" customHeight="1" x14ac:dyDescent="0.4">
      <c r="A13" s="17"/>
      <c r="B13" s="4" t="s">
        <v>46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7"/>
    </row>
    <row r="14" spans="1:14" ht="21.75" customHeight="1" x14ac:dyDescent="0.4">
      <c r="A14" s="17"/>
      <c r="B14" s="3" t="s">
        <v>47</v>
      </c>
      <c r="C14" s="3"/>
      <c r="D14" s="3"/>
      <c r="E14" s="3"/>
      <c r="F14" s="2" t="s">
        <v>48</v>
      </c>
      <c r="G14" s="2"/>
      <c r="H14" s="2"/>
      <c r="I14" s="2"/>
      <c r="J14" s="2"/>
      <c r="K14" s="2"/>
      <c r="L14" s="2"/>
      <c r="M14" s="2"/>
      <c r="N14" s="17"/>
    </row>
    <row r="15" spans="1:14" ht="21.75" customHeight="1" x14ac:dyDescent="0.4">
      <c r="A15" s="17"/>
      <c r="B15" s="1" t="s">
        <v>49</v>
      </c>
      <c r="C15" s="1"/>
      <c r="D15" s="1"/>
      <c r="E15" s="1"/>
      <c r="F15" s="44" t="s">
        <v>50</v>
      </c>
      <c r="G15" s="44"/>
      <c r="H15" s="44"/>
      <c r="I15" s="44"/>
      <c r="J15" s="44"/>
      <c r="K15" s="44"/>
      <c r="L15" s="44"/>
      <c r="M15" s="44"/>
      <c r="N15" s="17"/>
    </row>
    <row r="16" spans="1:14" ht="21.75" customHeight="1" x14ac:dyDescent="0.4">
      <c r="A16" s="17"/>
      <c r="B16" s="3" t="s">
        <v>51</v>
      </c>
      <c r="C16" s="3"/>
      <c r="D16" s="3"/>
      <c r="E16" s="3"/>
      <c r="F16" s="2" t="s">
        <v>52</v>
      </c>
      <c r="G16" s="2"/>
      <c r="H16" s="2"/>
      <c r="I16" s="2"/>
      <c r="J16" s="2"/>
      <c r="K16" s="2"/>
      <c r="L16" s="2"/>
      <c r="M16" s="2"/>
      <c r="N16" s="17"/>
    </row>
    <row r="17" spans="1:14" ht="21.75" customHeight="1" x14ac:dyDescent="0.4">
      <c r="A17" s="17"/>
      <c r="B17" s="1" t="s">
        <v>53</v>
      </c>
      <c r="C17" s="1"/>
      <c r="D17" s="1"/>
      <c r="E17" s="1"/>
      <c r="F17" s="44" t="s">
        <v>54</v>
      </c>
      <c r="G17" s="44"/>
      <c r="H17" s="44"/>
      <c r="I17" s="44"/>
      <c r="J17" s="44"/>
      <c r="K17" s="44"/>
      <c r="L17" s="44"/>
      <c r="M17" s="44"/>
      <c r="N17" s="17"/>
    </row>
    <row r="18" spans="1:14" ht="21.75" customHeight="1" x14ac:dyDescent="0.4">
      <c r="A18" s="17"/>
      <c r="B18" s="3" t="s">
        <v>55</v>
      </c>
      <c r="C18" s="3"/>
      <c r="D18" s="3"/>
      <c r="E18" s="3"/>
      <c r="F18" s="2" t="s">
        <v>56</v>
      </c>
      <c r="G18" s="2"/>
      <c r="H18" s="2"/>
      <c r="I18" s="2"/>
      <c r="J18" s="2"/>
      <c r="K18" s="2"/>
      <c r="L18" s="2"/>
      <c r="M18" s="2"/>
      <c r="N18" s="17"/>
    </row>
    <row r="19" spans="1:14" x14ac:dyDescent="0.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24.75" customHeight="1" x14ac:dyDescent="0.4">
      <c r="A20" s="17"/>
      <c r="B20" s="45" t="s">
        <v>57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17"/>
    </row>
    <row r="21" spans="1:14" ht="19.5" customHeight="1" x14ac:dyDescent="0.4">
      <c r="A21" s="17"/>
      <c r="B21" s="2" t="s">
        <v>58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7"/>
    </row>
    <row r="22" spans="1:14" ht="19.5" customHeight="1" x14ac:dyDescent="0.4">
      <c r="A22" s="17"/>
      <c r="B22" s="44" t="s">
        <v>59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17"/>
    </row>
    <row r="23" spans="1:14" ht="19.5" customHeight="1" x14ac:dyDescent="0.4">
      <c r="A23" s="17"/>
      <c r="B23" s="2" t="s">
        <v>60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7"/>
    </row>
    <row r="24" spans="1:14" ht="19.5" customHeight="1" x14ac:dyDescent="0.4">
      <c r="A24" s="17"/>
      <c r="B24" s="44" t="s">
        <v>61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17"/>
    </row>
    <row r="25" spans="1:14" ht="19.5" customHeight="1" x14ac:dyDescent="0.4">
      <c r="A25" s="17"/>
      <c r="B25" s="2" t="s">
        <v>62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7"/>
    </row>
    <row r="26" spans="1:14" ht="19.5" customHeight="1" x14ac:dyDescent="0.4">
      <c r="A26" s="17"/>
      <c r="B26" s="44" t="s">
        <v>63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17"/>
    </row>
    <row r="27" spans="1:14" x14ac:dyDescent="0.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19.5" customHeight="1" x14ac:dyDescent="0.4">
      <c r="A28" s="17"/>
      <c r="B28" s="46" t="s">
        <v>64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17"/>
    </row>
    <row r="29" spans="1:14" x14ac:dyDescent="0.4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x14ac:dyDescent="0.4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x14ac:dyDescent="0.4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x14ac:dyDescent="0.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x14ac:dyDescent="0.4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x14ac:dyDescent="0.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x14ac:dyDescent="0.4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x14ac:dyDescent="0.4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x14ac:dyDescent="0.4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x14ac:dyDescent="0.4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x14ac:dyDescent="0.4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x14ac:dyDescent="0.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x14ac:dyDescent="0.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x14ac:dyDescent="0.4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x14ac:dyDescent="0.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x14ac:dyDescent="0.4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x14ac:dyDescent="0.4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x14ac:dyDescent="0.4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x14ac:dyDescent="0.4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x14ac:dyDescent="0.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</sheetData>
  <mergeCells count="26">
    <mergeCell ref="B23:M23"/>
    <mergeCell ref="B24:M24"/>
    <mergeCell ref="B25:M25"/>
    <mergeCell ref="B26:M26"/>
    <mergeCell ref="B28:M28"/>
    <mergeCell ref="B18:E18"/>
    <mergeCell ref="F18:M18"/>
    <mergeCell ref="B20:M20"/>
    <mergeCell ref="B21:M21"/>
    <mergeCell ref="B22:M22"/>
    <mergeCell ref="B15:E15"/>
    <mergeCell ref="F15:M15"/>
    <mergeCell ref="B16:E16"/>
    <mergeCell ref="F16:M16"/>
    <mergeCell ref="B17:E17"/>
    <mergeCell ref="F17:M17"/>
    <mergeCell ref="B11:F11"/>
    <mergeCell ref="H11:M11"/>
    <mergeCell ref="B13:M13"/>
    <mergeCell ref="B14:E14"/>
    <mergeCell ref="F14:M14"/>
    <mergeCell ref="B3:M3"/>
    <mergeCell ref="B4:M4"/>
    <mergeCell ref="B5:M5"/>
    <mergeCell ref="B10:F10"/>
    <mergeCell ref="H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6DAD"/>
  </sheetPr>
  <dimension ref="A1:G75"/>
  <sheetViews>
    <sheetView showGridLines="0" zoomScaleNormal="100" workbookViewId="0">
      <selection activeCell="D9" sqref="D9"/>
    </sheetView>
  </sheetViews>
  <sheetFormatPr defaultColWidth="8.69140625" defaultRowHeight="14.6" x14ac:dyDescent="0.4"/>
  <cols>
    <col min="1" max="1" width="3" customWidth="1"/>
    <col min="2" max="2" width="45" customWidth="1"/>
    <col min="3" max="7" width="14" customWidth="1"/>
    <col min="8" max="8" width="3" customWidth="1"/>
  </cols>
  <sheetData>
    <row r="1" spans="1:7" ht="30" customHeight="1" x14ac:dyDescent="0.4">
      <c r="B1" s="47" t="s">
        <v>65</v>
      </c>
      <c r="C1" s="47"/>
      <c r="D1" s="47"/>
      <c r="E1" s="47"/>
      <c r="F1" s="47"/>
      <c r="G1" s="47"/>
    </row>
    <row r="3" spans="1:7" ht="15" customHeight="1" x14ac:dyDescent="0.4">
      <c r="B3" s="48" t="s">
        <v>66</v>
      </c>
      <c r="C3" s="48"/>
      <c r="D3" s="48"/>
      <c r="E3" s="48"/>
      <c r="F3" s="48"/>
      <c r="G3" s="48"/>
    </row>
    <row r="4" spans="1:7" ht="21.75" customHeight="1" x14ac:dyDescent="0.4">
      <c r="B4" s="18" t="s">
        <v>67</v>
      </c>
      <c r="C4" s="18" t="s">
        <v>68</v>
      </c>
      <c r="D4" s="18" t="s">
        <v>69</v>
      </c>
      <c r="E4" s="18" t="s">
        <v>70</v>
      </c>
      <c r="F4" s="18" t="s">
        <v>71</v>
      </c>
      <c r="G4" s="18" t="s">
        <v>72</v>
      </c>
    </row>
    <row r="5" spans="1:7" ht="18" customHeight="1" x14ac:dyDescent="0.4">
      <c r="A5" s="19" t="s">
        <v>73</v>
      </c>
      <c r="B5" s="20"/>
      <c r="C5" s="20"/>
      <c r="D5" s="20"/>
      <c r="E5" s="20"/>
      <c r="F5" s="20"/>
    </row>
    <row r="6" spans="1:7" ht="18" customHeight="1" x14ac:dyDescent="0.4">
      <c r="A6" s="21" t="s">
        <v>74</v>
      </c>
      <c r="B6" s="22">
        <v>70416.820000000007</v>
      </c>
      <c r="C6" s="22">
        <v>66392.350000000006</v>
      </c>
      <c r="D6" s="22">
        <v>64032.32</v>
      </c>
      <c r="E6" s="22">
        <v>87946.22</v>
      </c>
      <c r="F6" s="22">
        <v>84942.31</v>
      </c>
    </row>
    <row r="7" spans="1:7" ht="18" customHeight="1" x14ac:dyDescent="0.4">
      <c r="A7" s="23" t="s">
        <v>75</v>
      </c>
      <c r="B7" s="24">
        <v>5686.02</v>
      </c>
      <c r="C7" s="24">
        <v>8070.41</v>
      </c>
      <c r="D7" s="24">
        <v>10057.18</v>
      </c>
      <c r="E7" s="24">
        <v>14159.32</v>
      </c>
      <c r="F7" s="24">
        <v>21091.919999999998</v>
      </c>
    </row>
    <row r="8" spans="1:7" ht="18" customHeight="1" x14ac:dyDescent="0.4">
      <c r="A8" s="21" t="s">
        <v>76</v>
      </c>
      <c r="B8" s="25"/>
      <c r="C8" s="22">
        <v>4113.3100000000004</v>
      </c>
      <c r="D8" s="22">
        <v>3905.97</v>
      </c>
      <c r="E8" s="22">
        <v>5538.18</v>
      </c>
      <c r="F8" s="22">
        <v>5480.11</v>
      </c>
    </row>
    <row r="9" spans="1:7" ht="18" customHeight="1" x14ac:dyDescent="0.4">
      <c r="A9" s="23" t="s">
        <v>77</v>
      </c>
      <c r="B9" s="24">
        <v>805.2</v>
      </c>
      <c r="C9" s="24">
        <v>727.72</v>
      </c>
      <c r="D9" s="24">
        <v>839.33</v>
      </c>
      <c r="E9" s="24">
        <v>806.03</v>
      </c>
      <c r="F9" s="24">
        <v>760.65</v>
      </c>
    </row>
    <row r="10" spans="1:7" ht="18" customHeight="1" x14ac:dyDescent="0.4">
      <c r="A10" s="21" t="s">
        <v>78</v>
      </c>
      <c r="B10" s="22">
        <v>34491.49</v>
      </c>
      <c r="C10" s="22">
        <v>20282.5</v>
      </c>
      <c r="D10" s="22">
        <v>22621.66</v>
      </c>
      <c r="E10" s="22">
        <v>43401.43</v>
      </c>
      <c r="F10" s="22">
        <v>44138.9</v>
      </c>
    </row>
    <row r="11" spans="1:7" ht="18" customHeight="1" x14ac:dyDescent="0.4">
      <c r="A11" s="23" t="s">
        <v>79</v>
      </c>
      <c r="B11" s="24">
        <v>231.16</v>
      </c>
      <c r="C11" s="24">
        <v>199.26</v>
      </c>
      <c r="D11" s="24">
        <v>7509.33</v>
      </c>
      <c r="E11" s="24">
        <v>30195.27</v>
      </c>
      <c r="F11" s="24">
        <v>32779.08</v>
      </c>
    </row>
    <row r="12" spans="1:7" ht="18" customHeight="1" x14ac:dyDescent="0.4">
      <c r="A12" s="21" t="s">
        <v>80</v>
      </c>
      <c r="B12" s="22">
        <v>3964.36</v>
      </c>
      <c r="C12" s="22">
        <v>3640.89</v>
      </c>
      <c r="D12" s="22">
        <v>3326.32</v>
      </c>
      <c r="E12" s="22">
        <v>4812.57</v>
      </c>
      <c r="F12" s="22">
        <v>7567.35</v>
      </c>
    </row>
    <row r="13" spans="1:7" ht="18" customHeight="1" x14ac:dyDescent="0.4">
      <c r="A13" s="26" t="s">
        <v>81</v>
      </c>
      <c r="B13" s="27">
        <v>120462.78</v>
      </c>
      <c r="C13" s="27">
        <v>130383.37</v>
      </c>
      <c r="D13" s="27">
        <v>141279.69</v>
      </c>
      <c r="E13" s="27">
        <v>190696.65</v>
      </c>
      <c r="F13" s="27">
        <v>199841.9</v>
      </c>
    </row>
    <row r="14" spans="1:7" ht="18" customHeight="1" x14ac:dyDescent="0.4">
      <c r="A14" s="28" t="s">
        <v>82</v>
      </c>
      <c r="B14" s="29"/>
      <c r="C14" s="29"/>
      <c r="D14" s="29"/>
      <c r="E14" s="29"/>
      <c r="F14" s="29"/>
    </row>
    <row r="15" spans="1:7" ht="18" customHeight="1" x14ac:dyDescent="0.4">
      <c r="A15" s="23" t="s">
        <v>83</v>
      </c>
      <c r="B15" s="24">
        <v>11255.34</v>
      </c>
      <c r="C15" s="24">
        <v>10716.66</v>
      </c>
      <c r="D15" s="24">
        <v>8603.7900000000009</v>
      </c>
      <c r="E15" s="24">
        <v>19942.939999999999</v>
      </c>
      <c r="F15" s="24">
        <v>20795.560000000001</v>
      </c>
    </row>
    <row r="16" spans="1:7" ht="18" customHeight="1" x14ac:dyDescent="0.4">
      <c r="A16" s="21" t="s">
        <v>84</v>
      </c>
      <c r="B16" s="22">
        <v>1363.04</v>
      </c>
      <c r="C16" s="22">
        <v>1016.73</v>
      </c>
      <c r="D16" s="22">
        <v>3863.31</v>
      </c>
      <c r="E16" s="22">
        <v>3280.3</v>
      </c>
      <c r="F16" s="22">
        <v>3351.72</v>
      </c>
    </row>
    <row r="17" spans="1:6" ht="18" customHeight="1" x14ac:dyDescent="0.4">
      <c r="A17" s="23" t="s">
        <v>85</v>
      </c>
      <c r="B17" s="24">
        <v>544.85</v>
      </c>
      <c r="C17" s="24">
        <v>993.64</v>
      </c>
      <c r="D17" s="24">
        <v>1501.71</v>
      </c>
      <c r="E17" s="24">
        <v>2671.59</v>
      </c>
      <c r="F17" s="24">
        <v>858.98</v>
      </c>
    </row>
    <row r="18" spans="1:6" ht="18" customHeight="1" x14ac:dyDescent="0.4">
      <c r="A18" s="21" t="s">
        <v>86</v>
      </c>
      <c r="B18" s="22">
        <v>477.47</v>
      </c>
      <c r="C18" s="22">
        <v>3235.16</v>
      </c>
      <c r="D18" s="22">
        <v>6404.46</v>
      </c>
      <c r="E18" s="22">
        <v>96.11</v>
      </c>
      <c r="F18" s="22">
        <v>2050.4</v>
      </c>
    </row>
    <row r="19" spans="1:6" ht="18" customHeight="1" x14ac:dyDescent="0.4">
      <c r="A19" s="23" t="s">
        <v>87</v>
      </c>
      <c r="B19" s="24">
        <v>3394.88</v>
      </c>
      <c r="C19" s="24">
        <v>3996.84</v>
      </c>
      <c r="D19" s="24">
        <v>2999.41</v>
      </c>
      <c r="E19" s="24">
        <v>5298.63</v>
      </c>
      <c r="F19" s="24">
        <v>6893.86</v>
      </c>
    </row>
    <row r="20" spans="1:6" ht="18" customHeight="1" x14ac:dyDescent="0.4">
      <c r="A20" s="26" t="s">
        <v>88</v>
      </c>
      <c r="B20" s="27">
        <v>17035.580000000002</v>
      </c>
      <c r="C20" s="27">
        <v>19959.03</v>
      </c>
      <c r="D20" s="27">
        <v>23372.68</v>
      </c>
      <c r="E20" s="27">
        <v>31289.57</v>
      </c>
      <c r="F20" s="27">
        <v>33949.519999999997</v>
      </c>
    </row>
    <row r="21" spans="1:6" ht="18" customHeight="1" x14ac:dyDescent="0.4">
      <c r="A21" s="26" t="s">
        <v>89</v>
      </c>
      <c r="B21" s="27">
        <v>137498.35999999999</v>
      </c>
      <c r="C21" s="27">
        <v>150392.56</v>
      </c>
      <c r="D21" s="27">
        <v>165035.99</v>
      </c>
      <c r="E21" s="27">
        <v>221986.22</v>
      </c>
      <c r="F21" s="27">
        <v>233791.42</v>
      </c>
    </row>
    <row r="22" spans="1:6" ht="18" customHeight="1" x14ac:dyDescent="0.4">
      <c r="A22" s="21"/>
      <c r="B22" s="25"/>
      <c r="C22" s="25"/>
      <c r="D22" s="25"/>
      <c r="E22" s="25"/>
      <c r="F22" s="25"/>
    </row>
    <row r="23" spans="1:6" ht="18" customHeight="1" x14ac:dyDescent="0.4">
      <c r="A23" s="19" t="s">
        <v>90</v>
      </c>
      <c r="B23" s="20"/>
      <c r="C23" s="20"/>
      <c r="D23" s="20"/>
      <c r="E23" s="20"/>
      <c r="F23" s="20"/>
    </row>
    <row r="24" spans="1:6" ht="18" customHeight="1" x14ac:dyDescent="0.4">
      <c r="A24" s="21" t="s">
        <v>91</v>
      </c>
      <c r="B24" s="22">
        <v>1146.1199999999999</v>
      </c>
      <c r="C24" s="22">
        <v>1146.1300000000001</v>
      </c>
      <c r="D24" s="22">
        <v>1198.78</v>
      </c>
      <c r="E24" s="22">
        <v>1222.3699999999999</v>
      </c>
      <c r="F24" s="22">
        <v>1222.4000000000001</v>
      </c>
    </row>
    <row r="25" spans="1:6" ht="18" customHeight="1" x14ac:dyDescent="0.4">
      <c r="A25" s="23" t="s">
        <v>92</v>
      </c>
      <c r="B25" s="24">
        <v>69308.59</v>
      </c>
      <c r="C25" s="24">
        <v>73416.990000000005</v>
      </c>
      <c r="D25" s="24">
        <v>89293.33</v>
      </c>
      <c r="E25" s="24">
        <v>124211.39</v>
      </c>
      <c r="F25" s="24">
        <v>133575.10999999999</v>
      </c>
    </row>
    <row r="26" spans="1:6" ht="18" customHeight="1" x14ac:dyDescent="0.4">
      <c r="A26" s="26" t="s">
        <v>93</v>
      </c>
      <c r="B26" s="27">
        <v>72729.710000000006</v>
      </c>
      <c r="C26" s="27">
        <v>76838.12</v>
      </c>
      <c r="D26" s="27">
        <v>91267.11</v>
      </c>
      <c r="E26" s="27">
        <v>125433.76</v>
      </c>
      <c r="F26" s="27">
        <v>134797.51</v>
      </c>
    </row>
    <row r="27" spans="1:6" ht="18" customHeight="1" x14ac:dyDescent="0.4">
      <c r="A27" s="19" t="s">
        <v>94</v>
      </c>
      <c r="B27" s="20"/>
      <c r="C27" s="20"/>
      <c r="D27" s="20"/>
      <c r="E27" s="20"/>
      <c r="F27" s="20"/>
    </row>
    <row r="28" spans="1:6" ht="18" customHeight="1" x14ac:dyDescent="0.4">
      <c r="A28" s="21" t="s">
        <v>95</v>
      </c>
      <c r="B28" s="22">
        <v>26651.19</v>
      </c>
      <c r="C28" s="22">
        <v>31381.96</v>
      </c>
      <c r="D28" s="22">
        <v>27313.8</v>
      </c>
      <c r="E28" s="22">
        <v>20290.810000000001</v>
      </c>
      <c r="F28" s="22">
        <v>30880.89</v>
      </c>
    </row>
    <row r="29" spans="1:6" ht="18" customHeight="1" x14ac:dyDescent="0.4">
      <c r="A29" s="23" t="s">
        <v>96</v>
      </c>
      <c r="B29" s="24">
        <v>7807</v>
      </c>
      <c r="C29" s="24">
        <v>5862.28</v>
      </c>
      <c r="D29" s="24">
        <v>6111.7</v>
      </c>
      <c r="E29" s="24">
        <v>8087.57</v>
      </c>
      <c r="F29" s="24">
        <v>8684.15</v>
      </c>
    </row>
    <row r="30" spans="1:6" ht="18" customHeight="1" x14ac:dyDescent="0.4">
      <c r="A30" s="21" t="s">
        <v>97</v>
      </c>
      <c r="B30" s="22">
        <v>4716.8100000000004</v>
      </c>
      <c r="C30" s="22">
        <v>5438.9</v>
      </c>
      <c r="D30" s="22">
        <v>11030.06</v>
      </c>
      <c r="E30" s="22">
        <v>14508.85</v>
      </c>
      <c r="F30" s="22">
        <v>12991.72</v>
      </c>
    </row>
    <row r="31" spans="1:6" ht="18" customHeight="1" x14ac:dyDescent="0.4">
      <c r="A31" s="26" t="s">
        <v>98</v>
      </c>
      <c r="B31" s="27">
        <v>39175</v>
      </c>
      <c r="C31" s="27">
        <v>42683.14</v>
      </c>
      <c r="D31" s="27">
        <v>44455.56</v>
      </c>
      <c r="E31" s="27">
        <v>42887.63</v>
      </c>
      <c r="F31" s="27">
        <v>52556.61</v>
      </c>
    </row>
    <row r="32" spans="1:6" ht="18" customHeight="1" x14ac:dyDescent="0.4">
      <c r="A32" s="28" t="s">
        <v>99</v>
      </c>
      <c r="B32" s="29"/>
      <c r="C32" s="29"/>
      <c r="D32" s="29"/>
      <c r="E32" s="29"/>
      <c r="F32" s="29"/>
    </row>
    <row r="33" spans="1:7" ht="18" customHeight="1" x14ac:dyDescent="0.4">
      <c r="A33" s="23" t="s">
        <v>100</v>
      </c>
      <c r="B33" s="24">
        <v>8.09</v>
      </c>
      <c r="C33" s="24">
        <v>7857.27</v>
      </c>
      <c r="D33" s="24">
        <v>0</v>
      </c>
      <c r="E33" s="24">
        <v>11984.66</v>
      </c>
      <c r="F33" s="24">
        <v>7298.12</v>
      </c>
    </row>
    <row r="34" spans="1:7" ht="18" customHeight="1" x14ac:dyDescent="0.4">
      <c r="A34" s="21" t="s">
        <v>101</v>
      </c>
      <c r="B34" s="22">
        <v>10969.56</v>
      </c>
      <c r="C34" s="22">
        <v>10600.96</v>
      </c>
      <c r="D34" s="22">
        <v>10638.59</v>
      </c>
      <c r="E34" s="22">
        <v>21091.14</v>
      </c>
      <c r="F34" s="22">
        <v>18082.400000000001</v>
      </c>
    </row>
    <row r="35" spans="1:7" ht="18" customHeight="1" x14ac:dyDescent="0.4">
      <c r="A35" s="23" t="s">
        <v>102</v>
      </c>
      <c r="B35" s="24">
        <v>14616</v>
      </c>
      <c r="C35" s="24">
        <v>12413.07</v>
      </c>
      <c r="D35" s="24">
        <v>18674.73</v>
      </c>
      <c r="E35" s="24">
        <v>20588.03</v>
      </c>
      <c r="F35" s="24">
        <v>21056.78</v>
      </c>
    </row>
    <row r="36" spans="1:7" ht="18" customHeight="1" x14ac:dyDescent="0.4">
      <c r="A36" s="26" t="s">
        <v>103</v>
      </c>
      <c r="B36" s="27">
        <v>25593.65</v>
      </c>
      <c r="C36" s="27">
        <v>30871.3</v>
      </c>
      <c r="D36" s="27">
        <v>29313.32</v>
      </c>
      <c r="E36" s="27">
        <v>53664.83</v>
      </c>
      <c r="F36" s="27">
        <v>46437.3</v>
      </c>
    </row>
    <row r="37" spans="1:7" ht="18" customHeight="1" x14ac:dyDescent="0.4">
      <c r="A37" s="26" t="s">
        <v>104</v>
      </c>
      <c r="B37" s="27">
        <v>137498.35999999999</v>
      </c>
      <c r="C37" s="27">
        <v>150392.56</v>
      </c>
      <c r="D37" s="27">
        <v>165035.99</v>
      </c>
      <c r="E37" s="27">
        <v>221986.22</v>
      </c>
      <c r="F37" s="27">
        <v>233791.42</v>
      </c>
    </row>
    <row r="39" spans="1:7" ht="15" customHeight="1" x14ac:dyDescent="0.4">
      <c r="B39" s="48" t="s">
        <v>105</v>
      </c>
      <c r="C39" s="48"/>
      <c r="D39" s="48"/>
      <c r="E39" s="48"/>
      <c r="F39" s="48"/>
      <c r="G39" s="48"/>
    </row>
    <row r="40" spans="1:7" ht="21.75" customHeight="1" x14ac:dyDescent="0.4">
      <c r="B40" s="18" t="s">
        <v>67</v>
      </c>
      <c r="C40" s="18" t="s">
        <v>68</v>
      </c>
      <c r="D40" s="18" t="s">
        <v>69</v>
      </c>
      <c r="E40" s="18" t="s">
        <v>70</v>
      </c>
      <c r="F40" s="18" t="s">
        <v>71</v>
      </c>
      <c r="G40" s="18" t="s">
        <v>72</v>
      </c>
    </row>
    <row r="41" spans="1:7" ht="18" customHeight="1" x14ac:dyDescent="0.4">
      <c r="A41" s="19" t="s">
        <v>106</v>
      </c>
      <c r="B41" s="30">
        <v>70610.92</v>
      </c>
      <c r="C41" s="30">
        <v>60435.97</v>
      </c>
      <c r="D41" s="30">
        <v>64869</v>
      </c>
      <c r="E41" s="30">
        <v>129021.35</v>
      </c>
      <c r="F41" s="30">
        <v>129006.62</v>
      </c>
    </row>
    <row r="42" spans="1:7" ht="18" customHeight="1" x14ac:dyDescent="0.4">
      <c r="A42" s="21" t="s">
        <v>107</v>
      </c>
      <c r="B42" s="22">
        <v>2405.08</v>
      </c>
      <c r="C42" s="22">
        <v>404.12</v>
      </c>
      <c r="D42" s="22">
        <v>637.89</v>
      </c>
      <c r="E42" s="22">
        <v>1452.02</v>
      </c>
      <c r="F42" s="22">
        <v>3325.48</v>
      </c>
    </row>
    <row r="43" spans="1:7" ht="18" customHeight="1" x14ac:dyDescent="0.4">
      <c r="A43" s="26" t="s">
        <v>108</v>
      </c>
      <c r="B43" s="27">
        <v>73016</v>
      </c>
      <c r="C43" s="27">
        <v>60840.09</v>
      </c>
      <c r="D43" s="27">
        <v>65506.89</v>
      </c>
      <c r="E43" s="27">
        <v>130473.37</v>
      </c>
      <c r="F43" s="27">
        <v>132332.1</v>
      </c>
    </row>
    <row r="44" spans="1:7" ht="18" customHeight="1" x14ac:dyDescent="0.4">
      <c r="A44" s="21"/>
      <c r="B44" s="25"/>
      <c r="C44" s="25"/>
      <c r="D44" s="25"/>
      <c r="E44" s="25"/>
      <c r="F44" s="25"/>
    </row>
    <row r="45" spans="1:7" ht="18" customHeight="1" x14ac:dyDescent="0.4">
      <c r="A45" s="19" t="s">
        <v>109</v>
      </c>
      <c r="B45" s="20"/>
      <c r="C45" s="20"/>
      <c r="D45" s="20"/>
      <c r="E45" s="20"/>
      <c r="F45" s="20"/>
    </row>
    <row r="46" spans="1:7" ht="18" customHeight="1" x14ac:dyDescent="0.4">
      <c r="A46" s="21" t="s">
        <v>110</v>
      </c>
      <c r="B46" s="22">
        <v>19840.29</v>
      </c>
      <c r="C46" s="22">
        <v>17407.03</v>
      </c>
      <c r="D46" s="22">
        <v>13868.6</v>
      </c>
      <c r="E46" s="22">
        <v>35256.980000000003</v>
      </c>
      <c r="F46" s="22">
        <v>54011.5</v>
      </c>
    </row>
    <row r="47" spans="1:7" ht="18" customHeight="1" x14ac:dyDescent="0.4">
      <c r="A47" s="23" t="s">
        <v>111</v>
      </c>
      <c r="B47" s="24">
        <v>1807.85</v>
      </c>
      <c r="C47" s="24">
        <v>1563.1</v>
      </c>
      <c r="D47" s="24">
        <v>1146.05</v>
      </c>
      <c r="E47" s="24">
        <v>4089.03</v>
      </c>
      <c r="F47" s="24">
        <v>7467.3</v>
      </c>
    </row>
    <row r="48" spans="1:7" ht="18" customHeight="1" x14ac:dyDescent="0.4">
      <c r="A48" s="21" t="s">
        <v>112</v>
      </c>
      <c r="B48" s="22">
        <v>-554.33000000000004</v>
      </c>
      <c r="C48" s="22">
        <v>-564.4</v>
      </c>
      <c r="D48" s="22">
        <v>1464.12</v>
      </c>
      <c r="E48" s="22">
        <v>-1820.87</v>
      </c>
      <c r="F48" s="22">
        <v>-1142.06</v>
      </c>
    </row>
    <row r="49" spans="1:6" ht="18" customHeight="1" x14ac:dyDescent="0.4">
      <c r="A49" s="23" t="s">
        <v>113</v>
      </c>
      <c r="B49" s="24">
        <v>5131.0600000000004</v>
      </c>
      <c r="C49" s="24">
        <v>5036.62</v>
      </c>
      <c r="D49" s="24">
        <v>5198.82</v>
      </c>
      <c r="E49" s="24">
        <v>6365.8</v>
      </c>
      <c r="F49" s="24">
        <v>6616.29</v>
      </c>
    </row>
    <row r="50" spans="1:6" ht="18" customHeight="1" x14ac:dyDescent="0.4">
      <c r="A50" s="21" t="s">
        <v>114</v>
      </c>
      <c r="B50" s="22">
        <v>2823.58</v>
      </c>
      <c r="C50" s="22">
        <v>3031.01</v>
      </c>
      <c r="D50" s="22">
        <v>3393.84</v>
      </c>
      <c r="E50" s="22">
        <v>2792.08</v>
      </c>
      <c r="F50" s="22">
        <v>3792.14</v>
      </c>
    </row>
    <row r="51" spans="1:6" ht="18" customHeight="1" x14ac:dyDescent="0.4">
      <c r="A51" s="23" t="s">
        <v>115</v>
      </c>
      <c r="B51" s="24">
        <v>3802.96</v>
      </c>
      <c r="C51" s="24">
        <v>3920.12</v>
      </c>
      <c r="D51" s="24">
        <v>3987.32</v>
      </c>
      <c r="E51" s="24">
        <v>5463.69</v>
      </c>
      <c r="F51" s="24">
        <v>5434.61</v>
      </c>
    </row>
    <row r="52" spans="1:6" ht="18" customHeight="1" x14ac:dyDescent="0.4">
      <c r="A52" s="21" t="s">
        <v>116</v>
      </c>
      <c r="B52" s="22">
        <v>24622.81</v>
      </c>
      <c r="C52" s="22">
        <v>23803.18</v>
      </c>
      <c r="D52" s="22">
        <v>22747.3</v>
      </c>
      <c r="E52" s="22">
        <v>36458.65</v>
      </c>
      <c r="F52" s="22">
        <v>38870.959999999999</v>
      </c>
    </row>
    <row r="53" spans="1:6" ht="18" customHeight="1" x14ac:dyDescent="0.4">
      <c r="A53" s="26" t="s">
        <v>117</v>
      </c>
      <c r="B53" s="27">
        <v>56674.52</v>
      </c>
      <c r="C53" s="27">
        <v>52525.53</v>
      </c>
      <c r="D53" s="27">
        <v>50484.81</v>
      </c>
      <c r="E53" s="27">
        <v>86147.27</v>
      </c>
      <c r="F53" s="27">
        <v>110531.4</v>
      </c>
    </row>
    <row r="54" spans="1:6" ht="18" customHeight="1" x14ac:dyDescent="0.4">
      <c r="A54" s="21"/>
      <c r="B54" s="25"/>
      <c r="C54" s="25"/>
      <c r="D54" s="25"/>
      <c r="E54" s="25"/>
      <c r="F54" s="25"/>
    </row>
    <row r="55" spans="1:6" ht="18" customHeight="1" x14ac:dyDescent="0.4">
      <c r="A55" s="19" t="s">
        <v>118</v>
      </c>
      <c r="B55" s="30">
        <v>16341.48</v>
      </c>
      <c r="C55" s="30">
        <v>8314.56</v>
      </c>
      <c r="D55" s="30">
        <v>15022.08</v>
      </c>
      <c r="E55" s="30">
        <v>44326.1</v>
      </c>
      <c r="F55" s="30">
        <v>21800.7</v>
      </c>
    </row>
    <row r="56" spans="1:6" ht="18" customHeight="1" x14ac:dyDescent="0.4">
      <c r="A56" s="21" t="s">
        <v>119</v>
      </c>
      <c r="B56" s="22">
        <v>-114.23</v>
      </c>
      <c r="C56" s="22">
        <v>-1703.58</v>
      </c>
      <c r="D56" s="22">
        <v>2773.05</v>
      </c>
      <c r="E56" s="22">
        <v>-235.45</v>
      </c>
      <c r="F56" s="22">
        <v>-778.78</v>
      </c>
    </row>
    <row r="57" spans="1:6" ht="18" customHeight="1" x14ac:dyDescent="0.4">
      <c r="A57" s="26" t="s">
        <v>120</v>
      </c>
      <c r="B57" s="27">
        <v>16227.25</v>
      </c>
      <c r="C57" s="27">
        <v>6610.98</v>
      </c>
      <c r="D57" s="27">
        <v>17795.13</v>
      </c>
      <c r="E57" s="27">
        <v>44090.65</v>
      </c>
      <c r="F57" s="27">
        <v>21021.919999999998</v>
      </c>
    </row>
    <row r="58" spans="1:6" ht="18" customHeight="1" x14ac:dyDescent="0.4">
      <c r="A58" s="21" t="s">
        <v>121</v>
      </c>
      <c r="B58" s="22">
        <v>5694.06</v>
      </c>
      <c r="C58" s="22">
        <v>-132.82</v>
      </c>
      <c r="D58" s="22">
        <v>4188.51</v>
      </c>
      <c r="E58" s="22">
        <v>11079.47</v>
      </c>
      <c r="F58" s="22">
        <v>5526.81</v>
      </c>
    </row>
    <row r="59" spans="1:6" ht="18" customHeight="1" x14ac:dyDescent="0.4">
      <c r="A59" s="26" t="s">
        <v>122</v>
      </c>
      <c r="B59" s="27">
        <v>10533.19</v>
      </c>
      <c r="C59" s="27">
        <v>6743.8</v>
      </c>
      <c r="D59" s="27">
        <v>13606.62</v>
      </c>
      <c r="E59" s="27">
        <v>33011.18</v>
      </c>
      <c r="F59" s="27">
        <v>15495.11</v>
      </c>
    </row>
    <row r="60" spans="1:6" ht="18" customHeight="1" x14ac:dyDescent="0.4">
      <c r="A60" s="21" t="s">
        <v>123</v>
      </c>
      <c r="B60" s="22">
        <v>-50.22</v>
      </c>
      <c r="C60" s="22">
        <v>-648.87</v>
      </c>
      <c r="D60" s="22">
        <v>408.74</v>
      </c>
      <c r="E60" s="22">
        <v>694.9</v>
      </c>
      <c r="F60" s="22">
        <v>100.37</v>
      </c>
    </row>
    <row r="61" spans="1:6" ht="18" customHeight="1" x14ac:dyDescent="0.4">
      <c r="A61" s="26" t="s">
        <v>124</v>
      </c>
      <c r="B61" s="27">
        <v>10482.969999999999</v>
      </c>
      <c r="C61" s="27">
        <v>6094.93</v>
      </c>
      <c r="D61" s="27">
        <v>14015.36</v>
      </c>
      <c r="E61" s="27">
        <v>33706.080000000002</v>
      </c>
      <c r="F61" s="27">
        <v>15595.48</v>
      </c>
    </row>
    <row r="62" spans="1:6" ht="18" customHeight="1" x14ac:dyDescent="0.4">
      <c r="A62" s="21"/>
      <c r="B62" s="25"/>
      <c r="C62" s="25"/>
      <c r="D62" s="25"/>
      <c r="E62" s="25"/>
      <c r="F62" s="25"/>
    </row>
    <row r="63" spans="1:6" ht="18" customHeight="1" x14ac:dyDescent="0.4">
      <c r="A63" s="23" t="s">
        <v>125</v>
      </c>
      <c r="B63" s="24">
        <v>90.41</v>
      </c>
      <c r="C63" s="24">
        <v>57.11</v>
      </c>
      <c r="D63" s="24">
        <v>117.04</v>
      </c>
      <c r="E63" s="24">
        <v>270.33</v>
      </c>
      <c r="F63" s="24">
        <v>12.68</v>
      </c>
    </row>
    <row r="64" spans="1:6" ht="18" customHeight="1" x14ac:dyDescent="0.4">
      <c r="A64" s="21" t="s">
        <v>126</v>
      </c>
      <c r="B64" s="22">
        <v>90.4</v>
      </c>
      <c r="C64" s="22">
        <v>57.11</v>
      </c>
      <c r="D64" s="22">
        <v>117.03</v>
      </c>
      <c r="E64" s="22">
        <v>270.13</v>
      </c>
      <c r="F64" s="22">
        <v>12.67</v>
      </c>
    </row>
    <row r="66" spans="1:7" ht="15" customHeight="1" x14ac:dyDescent="0.4">
      <c r="B66" s="48" t="s">
        <v>127</v>
      </c>
      <c r="C66" s="48"/>
      <c r="D66" s="48"/>
      <c r="E66" s="48"/>
      <c r="F66" s="48"/>
      <c r="G66" s="48"/>
    </row>
    <row r="67" spans="1:7" ht="21.75" customHeight="1" x14ac:dyDescent="0.4">
      <c r="B67" s="18" t="s">
        <v>67</v>
      </c>
      <c r="C67" s="18" t="s">
        <v>68</v>
      </c>
      <c r="D67" s="18" t="s">
        <v>69</v>
      </c>
      <c r="E67" s="18" t="s">
        <v>70</v>
      </c>
      <c r="F67" s="18" t="s">
        <v>71</v>
      </c>
      <c r="G67" s="18" t="s">
        <v>72</v>
      </c>
    </row>
    <row r="68" spans="1:7" ht="18" customHeight="1" x14ac:dyDescent="0.4">
      <c r="A68" s="28" t="s">
        <v>128</v>
      </c>
      <c r="B68" s="31">
        <v>15193.11</v>
      </c>
      <c r="C68" s="31">
        <v>13453.66</v>
      </c>
      <c r="D68" s="31">
        <v>29368.560000000001</v>
      </c>
      <c r="E68" s="31">
        <v>41986.12</v>
      </c>
      <c r="F68" s="31">
        <v>14226.93</v>
      </c>
    </row>
    <row r="69" spans="1:7" ht="18" customHeight="1" x14ac:dyDescent="0.4">
      <c r="A69" s="19" t="s">
        <v>129</v>
      </c>
      <c r="B69" s="30">
        <v>-16349.98</v>
      </c>
      <c r="C69" s="30">
        <v>-17634.66</v>
      </c>
      <c r="D69" s="30">
        <v>-13008.46</v>
      </c>
      <c r="E69" s="30">
        <v>-34167.79</v>
      </c>
      <c r="F69" s="30">
        <v>-11060.61</v>
      </c>
    </row>
    <row r="70" spans="1:7" ht="18" customHeight="1" x14ac:dyDescent="0.4">
      <c r="A70" s="28" t="s">
        <v>130</v>
      </c>
      <c r="B70" s="31">
        <v>-2887.17</v>
      </c>
      <c r="C70" s="31">
        <v>4629.79</v>
      </c>
      <c r="D70" s="31">
        <v>-15852.03</v>
      </c>
      <c r="E70" s="31">
        <v>-7368.05</v>
      </c>
      <c r="F70" s="31">
        <v>-4978.93</v>
      </c>
    </row>
    <row r="71" spans="1:7" ht="18" customHeight="1" x14ac:dyDescent="0.4">
      <c r="A71" s="26" t="s">
        <v>131</v>
      </c>
      <c r="B71" s="27">
        <v>-4044.04</v>
      </c>
      <c r="C71" s="27">
        <v>448.79</v>
      </c>
      <c r="D71" s="27">
        <v>508.07</v>
      </c>
      <c r="E71" s="27">
        <v>450.28</v>
      </c>
      <c r="F71" s="27">
        <v>-1812.61</v>
      </c>
    </row>
    <row r="72" spans="1:7" ht="18" customHeight="1" x14ac:dyDescent="0.4">
      <c r="A72" s="21" t="s">
        <v>132</v>
      </c>
      <c r="B72" s="22">
        <v>4588.8900000000003</v>
      </c>
      <c r="C72" s="22">
        <v>544.85</v>
      </c>
      <c r="D72" s="22">
        <v>993.64</v>
      </c>
      <c r="E72" s="22">
        <v>2221.31</v>
      </c>
      <c r="F72" s="22">
        <v>2671.59</v>
      </c>
    </row>
    <row r="73" spans="1:7" ht="18" customHeight="1" x14ac:dyDescent="0.4">
      <c r="A73" s="26" t="s">
        <v>133</v>
      </c>
      <c r="B73" s="27">
        <v>544.85</v>
      </c>
      <c r="C73" s="27">
        <v>993.64</v>
      </c>
      <c r="D73" s="27">
        <v>1501.71</v>
      </c>
      <c r="E73" s="27">
        <v>2671.59</v>
      </c>
      <c r="F73" s="27">
        <v>858.98</v>
      </c>
    </row>
    <row r="75" spans="1:7" ht="15" customHeight="1" x14ac:dyDescent="0.4">
      <c r="B75" s="49" t="s">
        <v>134</v>
      </c>
      <c r="C75" s="49"/>
      <c r="D75" s="49"/>
      <c r="E75" s="49"/>
      <c r="F75" s="49"/>
      <c r="G75" s="49"/>
    </row>
  </sheetData>
  <mergeCells count="5">
    <mergeCell ref="B1:G1"/>
    <mergeCell ref="B3:G3"/>
    <mergeCell ref="B39:G39"/>
    <mergeCell ref="B66:G66"/>
    <mergeCell ref="B75:G7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7346"/>
  </sheetPr>
  <dimension ref="B1:I40"/>
  <sheetViews>
    <sheetView showGridLines="0" zoomScaleNormal="100" workbookViewId="0">
      <selection activeCell="I5" sqref="I5"/>
    </sheetView>
  </sheetViews>
  <sheetFormatPr defaultColWidth="8.69140625" defaultRowHeight="14.6" x14ac:dyDescent="0.4"/>
  <cols>
    <col min="1" max="1" width="3" customWidth="1"/>
    <col min="2" max="2" width="4" customWidth="1"/>
    <col min="3" max="3" width="40" customWidth="1"/>
    <col min="4" max="4" width="39.61328125" bestFit="1" customWidth="1"/>
    <col min="5" max="9" width="13" customWidth="1"/>
    <col min="10" max="10" width="3" customWidth="1"/>
  </cols>
  <sheetData>
    <row r="1" spans="2:9" ht="30" customHeight="1" x14ac:dyDescent="0.4">
      <c r="B1" s="47" t="s">
        <v>135</v>
      </c>
      <c r="C1" s="47"/>
      <c r="D1" s="47"/>
      <c r="E1" s="47"/>
      <c r="F1" s="47"/>
      <c r="G1" s="47"/>
      <c r="H1" s="47"/>
      <c r="I1" s="47"/>
    </row>
    <row r="3" spans="2:9" ht="21.75" customHeight="1" x14ac:dyDescent="0.4">
      <c r="B3" s="18" t="s">
        <v>136</v>
      </c>
      <c r="C3" s="18" t="s">
        <v>137</v>
      </c>
      <c r="D3" s="18" t="s">
        <v>138</v>
      </c>
      <c r="E3" s="18" t="s">
        <v>139</v>
      </c>
      <c r="F3" s="18" t="s">
        <v>140</v>
      </c>
      <c r="G3" s="18" t="s">
        <v>141</v>
      </c>
      <c r="H3" s="18" t="s">
        <v>142</v>
      </c>
      <c r="I3" s="18" t="s">
        <v>143</v>
      </c>
    </row>
    <row r="4" spans="2:9" ht="15" customHeight="1" x14ac:dyDescent="0.4">
      <c r="B4" s="48" t="s">
        <v>144</v>
      </c>
      <c r="C4" s="48"/>
      <c r="D4" s="48"/>
      <c r="E4" s="48"/>
      <c r="F4" s="48"/>
      <c r="G4" s="48"/>
      <c r="H4" s="48"/>
      <c r="I4" s="48"/>
    </row>
    <row r="5" spans="2:9" ht="19.5" customHeight="1" x14ac:dyDescent="0.4">
      <c r="B5" s="32">
        <v>1</v>
      </c>
      <c r="C5" s="23" t="s">
        <v>26</v>
      </c>
      <c r="D5" s="23" t="s">
        <v>145</v>
      </c>
      <c r="E5" s="33">
        <v>0.66561700000000001</v>
      </c>
      <c r="F5" s="33">
        <v>0.64652399999999999</v>
      </c>
      <c r="G5" s="33">
        <v>0.79734000000000005</v>
      </c>
      <c r="H5" s="33">
        <v>0.58305499999999999</v>
      </c>
      <c r="I5" s="33">
        <v>0.73108300000000004</v>
      </c>
    </row>
    <row r="6" spans="2:9" ht="19.5" customHeight="1" x14ac:dyDescent="0.4">
      <c r="B6" s="34">
        <v>2</v>
      </c>
      <c r="C6" s="21" t="s">
        <v>146</v>
      </c>
      <c r="D6" s="21" t="s">
        <v>147</v>
      </c>
      <c r="E6" s="35">
        <v>0.22584699999999999</v>
      </c>
      <c r="F6" s="35">
        <v>0.29938399999999998</v>
      </c>
      <c r="G6" s="35">
        <v>0.50382899999999997</v>
      </c>
      <c r="H6" s="35">
        <v>0.21143500000000001</v>
      </c>
      <c r="I6" s="35">
        <v>0.28326299999999999</v>
      </c>
    </row>
    <row r="7" spans="2:9" ht="19.5" customHeight="1" x14ac:dyDescent="0.4">
      <c r="B7" s="32">
        <v>3</v>
      </c>
      <c r="C7" s="23" t="s">
        <v>148</v>
      </c>
      <c r="D7" s="23" t="s">
        <v>149</v>
      </c>
      <c r="E7" s="33">
        <v>2.1288000000000001E-2</v>
      </c>
      <c r="F7" s="33">
        <v>3.2187E-2</v>
      </c>
      <c r="G7" s="33">
        <v>5.1229999999999998E-2</v>
      </c>
      <c r="H7" s="33">
        <v>4.9783000000000001E-2</v>
      </c>
      <c r="I7" s="33">
        <v>1.8498000000000001E-2</v>
      </c>
    </row>
    <row r="8" spans="2:9" ht="19.5" customHeight="1" x14ac:dyDescent="0.4">
      <c r="B8" s="34">
        <v>4</v>
      </c>
      <c r="C8" s="21" t="s">
        <v>150</v>
      </c>
      <c r="D8" s="21" t="s">
        <v>151</v>
      </c>
      <c r="E8" s="35">
        <v>-8558.07</v>
      </c>
      <c r="F8" s="35">
        <v>-10912.27</v>
      </c>
      <c r="G8" s="35">
        <v>-5940.64</v>
      </c>
      <c r="H8" s="35">
        <v>-22375.26</v>
      </c>
      <c r="I8" s="35">
        <v>-12487.78</v>
      </c>
    </row>
    <row r="10" spans="2:9" ht="15" customHeight="1" x14ac:dyDescent="0.4">
      <c r="B10" s="48" t="s">
        <v>152</v>
      </c>
      <c r="C10" s="48"/>
      <c r="D10" s="48"/>
      <c r="E10" s="48"/>
      <c r="F10" s="48"/>
      <c r="G10" s="48"/>
      <c r="H10" s="48"/>
      <c r="I10" s="48"/>
    </row>
    <row r="11" spans="2:9" ht="19.5" customHeight="1" x14ac:dyDescent="0.4">
      <c r="B11" s="32">
        <v>5</v>
      </c>
      <c r="C11" s="23" t="s">
        <v>153</v>
      </c>
      <c r="D11" s="23" t="s">
        <v>154</v>
      </c>
      <c r="E11" s="33">
        <v>5.0978620000000001</v>
      </c>
      <c r="F11" s="33">
        <v>4.9300930000000003</v>
      </c>
      <c r="G11" s="33">
        <v>5.208367</v>
      </c>
      <c r="H11" s="33">
        <v>6.0476279999999996</v>
      </c>
      <c r="I11" s="33">
        <v>5.4649039999999998</v>
      </c>
    </row>
    <row r="12" spans="2:9" ht="19.5" customHeight="1" x14ac:dyDescent="0.4">
      <c r="B12" s="34">
        <v>6</v>
      </c>
      <c r="C12" s="21" t="s">
        <v>155</v>
      </c>
      <c r="D12" s="21" t="s">
        <v>156</v>
      </c>
      <c r="E12" s="35">
        <v>71.599999999999994</v>
      </c>
      <c r="F12" s="35">
        <v>74.040000000000006</v>
      </c>
      <c r="G12" s="35">
        <v>70.08</v>
      </c>
      <c r="H12" s="35">
        <v>60.35</v>
      </c>
      <c r="I12" s="35">
        <v>66.790000000000006</v>
      </c>
    </row>
    <row r="13" spans="2:9" ht="19.5" customHeight="1" x14ac:dyDescent="0.4">
      <c r="B13" s="32">
        <v>7</v>
      </c>
      <c r="C13" s="23" t="s">
        <v>157</v>
      </c>
      <c r="D13" s="23" t="s">
        <v>158</v>
      </c>
      <c r="E13" s="33">
        <v>6.3388580000000001</v>
      </c>
      <c r="F13" s="33">
        <v>5.5011809999999999</v>
      </c>
      <c r="G13" s="33">
        <v>6.7150610000000004</v>
      </c>
      <c r="H13" s="33">
        <v>9.0393089999999994</v>
      </c>
      <c r="I13" s="33">
        <v>6.3334010000000003</v>
      </c>
    </row>
    <row r="14" spans="2:9" ht="19.5" customHeight="1" x14ac:dyDescent="0.4">
      <c r="B14" s="34">
        <v>8</v>
      </c>
      <c r="C14" s="21" t="s">
        <v>159</v>
      </c>
      <c r="D14" s="21" t="s">
        <v>160</v>
      </c>
      <c r="E14" s="35">
        <v>57.58</v>
      </c>
      <c r="F14" s="35">
        <v>66.349999999999994</v>
      </c>
      <c r="G14" s="35">
        <v>54.36</v>
      </c>
      <c r="H14" s="35">
        <v>40.380000000000003</v>
      </c>
      <c r="I14" s="35">
        <v>57.63</v>
      </c>
    </row>
    <row r="15" spans="2:9" ht="19.5" customHeight="1" x14ac:dyDescent="0.4">
      <c r="B15" s="32">
        <v>9</v>
      </c>
      <c r="C15" s="23" t="s">
        <v>161</v>
      </c>
      <c r="D15" s="23" t="s">
        <v>162</v>
      </c>
      <c r="E15" s="33">
        <v>4.4508419999999997</v>
      </c>
      <c r="F15" s="33">
        <v>4.4483009999999998</v>
      </c>
      <c r="G15" s="33">
        <v>4.1580979999999998</v>
      </c>
      <c r="H15" s="33">
        <v>4.8371630000000003</v>
      </c>
      <c r="I15" s="33">
        <v>4.6998009999999999</v>
      </c>
    </row>
    <row r="16" spans="2:9" ht="19.5" customHeight="1" x14ac:dyDescent="0.4">
      <c r="B16" s="34">
        <v>10</v>
      </c>
      <c r="C16" s="21" t="s">
        <v>163</v>
      </c>
      <c r="D16" s="21" t="s">
        <v>164</v>
      </c>
      <c r="E16" s="35">
        <v>82.01</v>
      </c>
      <c r="F16" s="35">
        <v>82.05</v>
      </c>
      <c r="G16" s="35">
        <v>87.78</v>
      </c>
      <c r="H16" s="35">
        <v>75.459999999999994</v>
      </c>
      <c r="I16" s="35">
        <v>77.66</v>
      </c>
    </row>
    <row r="17" spans="2:9" ht="19.5" customHeight="1" x14ac:dyDescent="0.4">
      <c r="B17" s="32">
        <v>11</v>
      </c>
      <c r="C17" s="23" t="s">
        <v>165</v>
      </c>
      <c r="D17" s="23" t="s">
        <v>166</v>
      </c>
      <c r="E17" s="33">
        <v>0.51354</v>
      </c>
      <c r="F17" s="36"/>
      <c r="G17" s="36"/>
      <c r="H17" s="36"/>
      <c r="I17" s="36"/>
    </row>
    <row r="18" spans="2:9" ht="19.5" customHeight="1" x14ac:dyDescent="0.4">
      <c r="B18" s="34">
        <v>12</v>
      </c>
      <c r="C18" s="21" t="s">
        <v>167</v>
      </c>
      <c r="D18" s="21" t="s">
        <v>168</v>
      </c>
      <c r="E18" s="35">
        <v>4.144908</v>
      </c>
      <c r="F18" s="25"/>
      <c r="G18" s="25"/>
      <c r="H18" s="25"/>
      <c r="I18" s="25"/>
    </row>
    <row r="20" spans="2:9" ht="15" customHeight="1" x14ac:dyDescent="0.4">
      <c r="B20" s="48" t="s">
        <v>169</v>
      </c>
      <c r="C20" s="48"/>
      <c r="D20" s="48"/>
      <c r="E20" s="48"/>
      <c r="F20" s="48"/>
      <c r="G20" s="48"/>
      <c r="H20" s="48"/>
      <c r="I20" s="48"/>
    </row>
    <row r="21" spans="2:9" ht="19.5" customHeight="1" x14ac:dyDescent="0.4">
      <c r="B21" s="32">
        <v>13</v>
      </c>
      <c r="C21" s="23" t="s">
        <v>170</v>
      </c>
      <c r="D21" s="23" t="s">
        <v>171</v>
      </c>
      <c r="E21" s="33">
        <v>129.18</v>
      </c>
      <c r="F21" s="33">
        <v>140.38999999999999</v>
      </c>
      <c r="G21" s="33">
        <v>124.44</v>
      </c>
      <c r="H21" s="33">
        <v>100.73</v>
      </c>
      <c r="I21" s="33">
        <v>124.42</v>
      </c>
    </row>
    <row r="22" spans="2:9" ht="19.5" customHeight="1" x14ac:dyDescent="0.4">
      <c r="B22" s="34">
        <v>14</v>
      </c>
      <c r="C22" s="21" t="s">
        <v>172</v>
      </c>
      <c r="D22" s="21" t="s">
        <v>173</v>
      </c>
      <c r="E22" s="35">
        <v>47.17</v>
      </c>
      <c r="F22" s="35">
        <v>58.33</v>
      </c>
      <c r="G22" s="35">
        <v>36.65</v>
      </c>
      <c r="H22" s="35">
        <v>25.28</v>
      </c>
      <c r="I22" s="35">
        <v>46.76</v>
      </c>
    </row>
    <row r="23" spans="2:9" ht="19.5" customHeight="1" x14ac:dyDescent="0.4">
      <c r="B23" s="32">
        <v>15</v>
      </c>
      <c r="C23" s="23" t="s">
        <v>174</v>
      </c>
      <c r="D23" s="23" t="s">
        <v>175</v>
      </c>
      <c r="E23" s="33">
        <v>-8.5299999999999994</v>
      </c>
      <c r="F23" s="33">
        <v>-5.58</v>
      </c>
      <c r="G23" s="33">
        <v>-11.03</v>
      </c>
      <c r="H23" s="33">
        <v>-5.83</v>
      </c>
      <c r="I23" s="33">
        <v>-10.6</v>
      </c>
    </row>
    <row r="24" spans="2:9" ht="19.5" customHeight="1" x14ac:dyDescent="0.4">
      <c r="B24" s="34">
        <v>16</v>
      </c>
      <c r="C24" s="21" t="s">
        <v>176</v>
      </c>
      <c r="D24" s="21" t="s">
        <v>177</v>
      </c>
      <c r="E24" s="35">
        <v>4.1036060000000001</v>
      </c>
      <c r="F24" s="35">
        <v>2.4911029999999998</v>
      </c>
      <c r="G24" s="35">
        <v>6.2242350000000002</v>
      </c>
      <c r="H24" s="35">
        <v>11.494562</v>
      </c>
      <c r="I24" s="35">
        <v>3.949872</v>
      </c>
    </row>
    <row r="26" spans="2:9" ht="15" customHeight="1" x14ac:dyDescent="0.4">
      <c r="B26" s="48" t="s">
        <v>178</v>
      </c>
      <c r="C26" s="48"/>
      <c r="D26" s="48"/>
      <c r="E26" s="48"/>
      <c r="F26" s="48"/>
      <c r="G26" s="48"/>
      <c r="H26" s="48"/>
      <c r="I26" s="48"/>
    </row>
    <row r="27" spans="2:9" ht="19.5" customHeight="1" x14ac:dyDescent="0.4">
      <c r="B27" s="32">
        <v>17</v>
      </c>
      <c r="C27" s="23" t="s">
        <v>179</v>
      </c>
      <c r="D27" s="23" t="s">
        <v>180</v>
      </c>
      <c r="E27" s="37">
        <v>0.22289999999999999</v>
      </c>
      <c r="F27" s="37">
        <v>0.1087</v>
      </c>
      <c r="G27" s="37">
        <v>0.2717</v>
      </c>
      <c r="H27" s="37">
        <v>0.33789999999999998</v>
      </c>
      <c r="I27" s="37">
        <v>0.15890000000000001</v>
      </c>
    </row>
    <row r="28" spans="2:9" ht="19.5" customHeight="1" x14ac:dyDescent="0.4">
      <c r="B28" s="34">
        <v>18</v>
      </c>
      <c r="C28" s="21" t="s">
        <v>181</v>
      </c>
      <c r="D28" s="21" t="s">
        <v>182</v>
      </c>
      <c r="E28" s="38">
        <v>0.14430000000000001</v>
      </c>
      <c r="F28" s="38">
        <v>0.1108</v>
      </c>
      <c r="G28" s="38">
        <v>0.2077</v>
      </c>
      <c r="H28" s="38">
        <v>0.253</v>
      </c>
      <c r="I28" s="38">
        <v>0.1171</v>
      </c>
    </row>
    <row r="29" spans="2:9" ht="19.5" customHeight="1" x14ac:dyDescent="0.4">
      <c r="B29" s="32">
        <v>19</v>
      </c>
      <c r="C29" s="23" t="s">
        <v>183</v>
      </c>
      <c r="D29" s="23" t="s">
        <v>184</v>
      </c>
      <c r="E29" s="37">
        <v>0.30170000000000002</v>
      </c>
      <c r="F29" s="37">
        <v>0.13569999999999999</v>
      </c>
      <c r="G29" s="37">
        <v>0.37780000000000002</v>
      </c>
      <c r="H29" s="36"/>
      <c r="I29" s="36"/>
    </row>
    <row r="30" spans="2:9" ht="19.5" customHeight="1" x14ac:dyDescent="0.4">
      <c r="B30" s="34">
        <v>20</v>
      </c>
      <c r="C30" s="21" t="s">
        <v>185</v>
      </c>
      <c r="D30" s="21" t="s">
        <v>186</v>
      </c>
      <c r="E30" s="38">
        <v>0.19869999999999999</v>
      </c>
      <c r="F30" s="38">
        <v>6.7199999999999996E-2</v>
      </c>
      <c r="G30" s="38">
        <v>0.19650000000000001</v>
      </c>
      <c r="H30" s="25"/>
      <c r="I30" s="25"/>
    </row>
    <row r="31" spans="2:9" ht="19.5" customHeight="1" x14ac:dyDescent="0.4">
      <c r="B31" s="32">
        <v>21</v>
      </c>
      <c r="C31" s="23" t="s">
        <v>187</v>
      </c>
      <c r="D31" s="23" t="s">
        <v>188</v>
      </c>
      <c r="E31" s="37">
        <v>0.14480000000000001</v>
      </c>
      <c r="F31" s="37">
        <v>8.7800000000000003E-2</v>
      </c>
      <c r="G31" s="37">
        <v>0.14910000000000001</v>
      </c>
      <c r="H31" s="36"/>
      <c r="I31" s="36"/>
    </row>
    <row r="33" spans="2:9" ht="15" customHeight="1" x14ac:dyDescent="0.4">
      <c r="B33" s="48" t="s">
        <v>189</v>
      </c>
      <c r="C33" s="48"/>
      <c r="D33" s="48"/>
      <c r="E33" s="48"/>
      <c r="F33" s="48"/>
      <c r="G33" s="48"/>
      <c r="H33" s="48"/>
      <c r="I33" s="48"/>
    </row>
    <row r="34" spans="2:9" ht="19.5" customHeight="1" x14ac:dyDescent="0.4">
      <c r="B34" s="34">
        <v>22</v>
      </c>
      <c r="C34" s="21" t="s">
        <v>190</v>
      </c>
      <c r="D34" s="21" t="s">
        <v>191</v>
      </c>
      <c r="E34" s="35">
        <v>0.36599999999999999</v>
      </c>
      <c r="F34" s="35">
        <v>0.50900000000000001</v>
      </c>
      <c r="G34" s="35">
        <v>0.29899999999999999</v>
      </c>
      <c r="H34" s="35">
        <v>0.25600000000000001</v>
      </c>
      <c r="I34" s="35">
        <v>0.28399999999999997</v>
      </c>
    </row>
    <row r="35" spans="2:9" ht="19.5" customHeight="1" x14ac:dyDescent="0.4">
      <c r="B35" s="32">
        <v>23</v>
      </c>
      <c r="C35" s="23" t="s">
        <v>192</v>
      </c>
      <c r="D35" s="23" t="s">
        <v>193</v>
      </c>
      <c r="E35" s="33">
        <v>-0.11799999999999999</v>
      </c>
      <c r="F35" s="33">
        <v>0.23100000000000001</v>
      </c>
      <c r="G35" s="33">
        <v>3.3000000000000002E-2</v>
      </c>
      <c r="H35" s="36"/>
      <c r="I35" s="36"/>
    </row>
    <row r="36" spans="2:9" ht="19.5" customHeight="1" x14ac:dyDescent="0.4">
      <c r="B36" s="34">
        <v>24</v>
      </c>
      <c r="C36" s="21" t="s">
        <v>194</v>
      </c>
      <c r="D36" s="21" t="s">
        <v>195</v>
      </c>
      <c r="E36" s="35">
        <v>1.11E-4</v>
      </c>
      <c r="F36" s="35">
        <v>0.102257</v>
      </c>
      <c r="G36" s="35">
        <v>0</v>
      </c>
      <c r="H36" s="25"/>
      <c r="I36" s="25"/>
    </row>
    <row r="37" spans="2:9" ht="19.5" customHeight="1" x14ac:dyDescent="0.4">
      <c r="B37" s="32">
        <v>25</v>
      </c>
      <c r="C37" s="23" t="s">
        <v>196</v>
      </c>
      <c r="D37" s="23" t="s">
        <v>197</v>
      </c>
      <c r="E37" s="33">
        <v>2287.62</v>
      </c>
      <c r="F37" s="33">
        <v>1.1399999999999999</v>
      </c>
      <c r="G37" s="36"/>
      <c r="H37" s="33">
        <v>3.15</v>
      </c>
      <c r="I37" s="33">
        <v>3.06</v>
      </c>
    </row>
    <row r="40" spans="2:9" ht="22.4" customHeight="1" x14ac:dyDescent="0.4">
      <c r="B40" s="49" t="s">
        <v>198</v>
      </c>
      <c r="C40" s="49"/>
      <c r="D40" s="49"/>
      <c r="E40" s="49"/>
      <c r="F40" s="49"/>
      <c r="G40" s="49"/>
      <c r="H40" s="49"/>
      <c r="I40" s="49"/>
    </row>
  </sheetData>
  <mergeCells count="7">
    <mergeCell ref="B33:I33"/>
    <mergeCell ref="B40:I40"/>
    <mergeCell ref="B1:I1"/>
    <mergeCell ref="B4:I4"/>
    <mergeCell ref="B10:I10"/>
    <mergeCell ref="B20:I20"/>
    <mergeCell ref="B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G39"/>
  <sheetViews>
    <sheetView showGridLines="0" topLeftCell="A12" zoomScaleNormal="100" workbookViewId="0">
      <selection activeCell="D37" sqref="D37"/>
    </sheetView>
  </sheetViews>
  <sheetFormatPr defaultColWidth="8.69140625" defaultRowHeight="14.6" x14ac:dyDescent="0.4"/>
  <cols>
    <col min="1" max="1" width="3" customWidth="1"/>
    <col min="2" max="2" width="42" customWidth="1"/>
    <col min="3" max="7" width="14" customWidth="1"/>
    <col min="8" max="8" width="3" customWidth="1"/>
  </cols>
  <sheetData>
    <row r="1" spans="1:7" ht="30" customHeight="1" x14ac:dyDescent="0.4">
      <c r="B1" s="47" t="s">
        <v>199</v>
      </c>
      <c r="C1" s="47"/>
      <c r="D1" s="47"/>
      <c r="E1" s="47"/>
      <c r="F1" s="47"/>
      <c r="G1" s="47"/>
    </row>
    <row r="3" spans="1:7" ht="21.75" customHeight="1" x14ac:dyDescent="0.4">
      <c r="B3" s="18" t="s">
        <v>67</v>
      </c>
      <c r="C3" s="18" t="s">
        <v>68</v>
      </c>
      <c r="D3" s="18" t="s">
        <v>69</v>
      </c>
      <c r="E3" s="18" t="s">
        <v>70</v>
      </c>
      <c r="F3" s="18" t="s">
        <v>71</v>
      </c>
      <c r="G3" s="18" t="s">
        <v>72</v>
      </c>
    </row>
    <row r="4" spans="1:7" ht="18" customHeight="1" x14ac:dyDescent="0.4">
      <c r="A4" s="28" t="s">
        <v>200</v>
      </c>
      <c r="B4" s="29"/>
      <c r="C4" s="29"/>
      <c r="D4" s="29"/>
      <c r="E4" s="29"/>
      <c r="F4" s="29"/>
    </row>
    <row r="5" spans="1:7" ht="18" customHeight="1" x14ac:dyDescent="0.4">
      <c r="A5" s="23" t="s">
        <v>201</v>
      </c>
      <c r="B5" s="24">
        <v>19840.29</v>
      </c>
      <c r="C5" s="24">
        <v>17407.03</v>
      </c>
      <c r="D5" s="24">
        <v>13868.6</v>
      </c>
      <c r="E5" s="24">
        <v>35256.980000000003</v>
      </c>
      <c r="F5" s="24">
        <v>54011.5</v>
      </c>
    </row>
    <row r="6" spans="1:7" ht="18" customHeight="1" x14ac:dyDescent="0.4">
      <c r="A6" s="21" t="s">
        <v>202</v>
      </c>
      <c r="B6" s="22">
        <v>5131.0600000000004</v>
      </c>
      <c r="C6" s="22">
        <v>5036.62</v>
      </c>
      <c r="D6" s="22">
        <v>5198.82</v>
      </c>
      <c r="E6" s="22">
        <v>6365.8</v>
      </c>
      <c r="F6" s="22">
        <v>6616.29</v>
      </c>
    </row>
    <row r="7" spans="1:7" ht="18" customHeight="1" x14ac:dyDescent="0.4">
      <c r="A7" s="23" t="s">
        <v>203</v>
      </c>
      <c r="B7" s="24">
        <v>24622.81</v>
      </c>
      <c r="C7" s="24">
        <v>23803.18</v>
      </c>
      <c r="D7" s="24">
        <v>22747.3</v>
      </c>
      <c r="E7" s="24">
        <v>36458.65</v>
      </c>
      <c r="F7" s="24">
        <v>38870.959999999999</v>
      </c>
    </row>
    <row r="8" spans="1:7" ht="18" customHeight="1" x14ac:dyDescent="0.4">
      <c r="A8" s="21" t="s">
        <v>204</v>
      </c>
      <c r="B8" s="22">
        <v>-189</v>
      </c>
      <c r="C8" s="22">
        <v>-180</v>
      </c>
      <c r="D8" s="22">
        <v>-255</v>
      </c>
      <c r="E8" s="22">
        <v>-288</v>
      </c>
      <c r="F8" s="22">
        <v>-290</v>
      </c>
    </row>
    <row r="9" spans="1:7" ht="18" customHeight="1" x14ac:dyDescent="0.4">
      <c r="A9" s="23" t="s">
        <v>205</v>
      </c>
      <c r="B9" s="24">
        <v>-1201</v>
      </c>
      <c r="C9" s="24">
        <v>-832</v>
      </c>
      <c r="D9" s="24">
        <v>-1102</v>
      </c>
      <c r="E9" s="24">
        <v>-2066</v>
      </c>
      <c r="F9" s="24">
        <v>-1520</v>
      </c>
    </row>
    <row r="10" spans="1:7" ht="18" customHeight="1" x14ac:dyDescent="0.4">
      <c r="A10" s="21" t="s">
        <v>206</v>
      </c>
      <c r="B10" s="22">
        <v>4320</v>
      </c>
      <c r="C10" s="22">
        <v>4047</v>
      </c>
      <c r="D10" s="22">
        <v>3866</v>
      </c>
      <c r="E10" s="22">
        <v>6632</v>
      </c>
      <c r="F10" s="22">
        <v>6606</v>
      </c>
    </row>
    <row r="11" spans="1:7" ht="18" customHeight="1" x14ac:dyDescent="0.4">
      <c r="A11" s="23" t="s">
        <v>207</v>
      </c>
      <c r="B11" s="24">
        <v>0.21</v>
      </c>
      <c r="C11" s="36"/>
      <c r="D11" s="36"/>
      <c r="E11" s="36"/>
      <c r="F11" s="36"/>
    </row>
    <row r="12" spans="1:7" ht="18" customHeight="1" x14ac:dyDescent="0.4">
      <c r="A12" s="21" t="s">
        <v>208</v>
      </c>
      <c r="B12" s="22">
        <v>3802.96</v>
      </c>
      <c r="C12" s="22">
        <v>3920</v>
      </c>
      <c r="D12" s="22">
        <v>3987.32</v>
      </c>
      <c r="E12" s="22">
        <v>5463.69</v>
      </c>
      <c r="F12" s="22">
        <v>5435</v>
      </c>
    </row>
    <row r="13" spans="1:7" ht="18" customHeight="1" x14ac:dyDescent="0.4">
      <c r="A13" s="26" t="s">
        <v>209</v>
      </c>
      <c r="B13" s="27">
        <v>56327.33</v>
      </c>
      <c r="C13" s="27">
        <v>53201.83</v>
      </c>
      <c r="D13" s="27">
        <v>48311.040000000001</v>
      </c>
      <c r="E13" s="27">
        <v>87823.12</v>
      </c>
      <c r="F13" s="27">
        <v>109729.75</v>
      </c>
    </row>
    <row r="14" spans="1:7" ht="18" customHeight="1" x14ac:dyDescent="0.4">
      <c r="A14" s="21"/>
      <c r="B14" s="25"/>
      <c r="C14" s="25"/>
      <c r="D14" s="25"/>
      <c r="E14" s="25"/>
      <c r="F14" s="25"/>
    </row>
    <row r="15" spans="1:7" ht="18" customHeight="1" x14ac:dyDescent="0.4">
      <c r="A15" s="19" t="s">
        <v>210</v>
      </c>
      <c r="B15" s="20"/>
      <c r="C15" s="20"/>
      <c r="D15" s="20"/>
      <c r="E15" s="20"/>
      <c r="F15" s="20"/>
    </row>
    <row r="16" spans="1:7" ht="18" customHeight="1" x14ac:dyDescent="0.4">
      <c r="A16" s="21" t="s">
        <v>211</v>
      </c>
      <c r="B16" s="22">
        <v>5145.3</v>
      </c>
      <c r="C16" s="22">
        <v>4591.8100000000004</v>
      </c>
      <c r="D16" s="22">
        <v>4273.25</v>
      </c>
      <c r="E16" s="22">
        <v>4562.9799999999996</v>
      </c>
      <c r="F16" s="22">
        <v>6602.37</v>
      </c>
    </row>
    <row r="17" spans="1:6" ht="18" customHeight="1" x14ac:dyDescent="0.4">
      <c r="A17" s="23" t="s">
        <v>212</v>
      </c>
      <c r="B17" s="24">
        <v>-4591.8100000000004</v>
      </c>
      <c r="C17" s="24">
        <v>-4273.25</v>
      </c>
      <c r="D17" s="24">
        <v>-4562.9799999999996</v>
      </c>
      <c r="E17" s="24">
        <v>-6966.84</v>
      </c>
      <c r="F17" s="24">
        <v>-9438.64</v>
      </c>
    </row>
    <row r="18" spans="1:6" ht="18" customHeight="1" x14ac:dyDescent="0.4">
      <c r="A18" s="26" t="s">
        <v>213</v>
      </c>
      <c r="B18" s="27">
        <v>56880.82</v>
      </c>
      <c r="C18" s="27">
        <v>53520.39</v>
      </c>
      <c r="D18" s="27">
        <v>48021.31</v>
      </c>
      <c r="E18" s="27">
        <v>85419.26</v>
      </c>
      <c r="F18" s="27">
        <v>106893.48</v>
      </c>
    </row>
    <row r="19" spans="1:6" ht="18" customHeight="1" x14ac:dyDescent="0.4">
      <c r="A19" s="23"/>
      <c r="B19" s="36"/>
      <c r="C19" s="36"/>
      <c r="D19" s="36"/>
      <c r="E19" s="36"/>
      <c r="F19" s="36"/>
    </row>
    <row r="20" spans="1:6" ht="18" customHeight="1" x14ac:dyDescent="0.4">
      <c r="A20" s="28" t="s">
        <v>214</v>
      </c>
      <c r="B20" s="29"/>
      <c r="C20" s="29"/>
      <c r="D20" s="29"/>
      <c r="E20" s="29"/>
      <c r="F20" s="29"/>
    </row>
    <row r="21" spans="1:6" ht="18" customHeight="1" x14ac:dyDescent="0.4">
      <c r="A21" s="23" t="s">
        <v>215</v>
      </c>
      <c r="B21" s="24">
        <v>9787.4699999999993</v>
      </c>
      <c r="C21" s="24">
        <v>11055.76</v>
      </c>
      <c r="D21" s="24">
        <v>12391.38</v>
      </c>
      <c r="E21" s="24">
        <v>11940.89</v>
      </c>
      <c r="F21" s="24">
        <v>16075.72</v>
      </c>
    </row>
    <row r="22" spans="1:6" ht="18" customHeight="1" x14ac:dyDescent="0.4">
      <c r="A22" s="21" t="s">
        <v>216</v>
      </c>
      <c r="B22" s="22">
        <v>1808</v>
      </c>
      <c r="C22" s="22">
        <v>1563</v>
      </c>
      <c r="D22" s="22">
        <v>1146</v>
      </c>
      <c r="E22" s="22">
        <v>4089</v>
      </c>
      <c r="F22" s="22">
        <v>7467</v>
      </c>
    </row>
    <row r="23" spans="1:6" ht="18" customHeight="1" x14ac:dyDescent="0.4">
      <c r="A23" s="23" t="s">
        <v>217</v>
      </c>
      <c r="B23" s="24">
        <v>-11055.76</v>
      </c>
      <c r="C23" s="24">
        <v>-12391.38</v>
      </c>
      <c r="D23" s="24">
        <v>-11940.89</v>
      </c>
      <c r="E23" s="24">
        <v>-16075.72</v>
      </c>
      <c r="F23" s="24">
        <v>-17397.349999999999</v>
      </c>
    </row>
    <row r="24" spans="1:6" ht="18" customHeight="1" x14ac:dyDescent="0.4">
      <c r="A24" s="26" t="s">
        <v>218</v>
      </c>
      <c r="B24" s="27">
        <v>57420.53</v>
      </c>
      <c r="C24" s="27">
        <v>53747.77</v>
      </c>
      <c r="D24" s="27">
        <v>49617.8</v>
      </c>
      <c r="E24" s="27">
        <v>85373.43</v>
      </c>
      <c r="F24" s="27">
        <v>113038.85</v>
      </c>
    </row>
    <row r="25" spans="1:6" ht="18" customHeight="1" x14ac:dyDescent="0.4">
      <c r="A25" s="23"/>
      <c r="B25" s="36"/>
      <c r="C25" s="36"/>
      <c r="D25" s="36"/>
      <c r="E25" s="36"/>
      <c r="F25" s="36"/>
    </row>
    <row r="26" spans="1:6" ht="18" customHeight="1" x14ac:dyDescent="0.4">
      <c r="A26" s="28" t="s">
        <v>219</v>
      </c>
      <c r="B26" s="29"/>
      <c r="C26" s="29"/>
      <c r="D26" s="29"/>
      <c r="E26" s="29"/>
      <c r="F26" s="29"/>
    </row>
    <row r="27" spans="1:6" ht="18" customHeight="1" x14ac:dyDescent="0.4">
      <c r="A27" s="23" t="s">
        <v>220</v>
      </c>
      <c r="B27" s="24">
        <v>-2405.08</v>
      </c>
      <c r="C27" s="24">
        <v>-404.12</v>
      </c>
      <c r="D27" s="24">
        <v>-637.89</v>
      </c>
      <c r="E27" s="24">
        <v>-1452.02</v>
      </c>
      <c r="F27" s="24">
        <v>-3325.48</v>
      </c>
    </row>
    <row r="28" spans="1:6" ht="18" customHeight="1" x14ac:dyDescent="0.4">
      <c r="A28" s="21" t="s">
        <v>221</v>
      </c>
      <c r="B28" s="22">
        <v>1.42</v>
      </c>
      <c r="C28" s="22">
        <v>2.13</v>
      </c>
      <c r="D28" s="22">
        <v>39.840000000000003</v>
      </c>
      <c r="E28" s="22">
        <v>63.04</v>
      </c>
      <c r="F28" s="22">
        <v>-6.16</v>
      </c>
    </row>
    <row r="29" spans="1:6" ht="18" customHeight="1" x14ac:dyDescent="0.4">
      <c r="A29" s="23" t="s">
        <v>222</v>
      </c>
      <c r="B29" s="24">
        <v>-799.7</v>
      </c>
      <c r="C29" s="24">
        <v>-1671.13</v>
      </c>
      <c r="D29" s="24">
        <v>-1321.24</v>
      </c>
      <c r="E29" s="24">
        <v>-2458.09</v>
      </c>
      <c r="F29" s="24">
        <v>-4519.34</v>
      </c>
    </row>
    <row r="30" spans="1:6" ht="18" customHeight="1" x14ac:dyDescent="0.4">
      <c r="A30" s="21" t="s">
        <v>223</v>
      </c>
      <c r="B30" s="22">
        <v>1201</v>
      </c>
      <c r="C30" s="22">
        <v>832</v>
      </c>
      <c r="D30" s="22">
        <v>1102</v>
      </c>
      <c r="E30" s="22">
        <v>2066</v>
      </c>
      <c r="F30" s="22">
        <v>1520</v>
      </c>
    </row>
    <row r="31" spans="1:6" ht="18" customHeight="1" x14ac:dyDescent="0.4">
      <c r="A31" s="23" t="s">
        <v>224</v>
      </c>
      <c r="B31" s="24">
        <v>600</v>
      </c>
      <c r="C31" s="24">
        <v>2861</v>
      </c>
      <c r="D31" s="24">
        <v>2942</v>
      </c>
      <c r="E31" s="24">
        <v>1667</v>
      </c>
      <c r="F31" s="24">
        <v>939</v>
      </c>
    </row>
    <row r="32" spans="1:6" ht="18" customHeight="1" x14ac:dyDescent="0.4">
      <c r="A32" s="26" t="s">
        <v>225</v>
      </c>
      <c r="B32" s="27">
        <v>56018.17</v>
      </c>
      <c r="C32" s="27">
        <v>55367.65</v>
      </c>
      <c r="D32" s="27">
        <v>51742.51</v>
      </c>
      <c r="E32" s="27">
        <v>85259.36</v>
      </c>
      <c r="F32" s="27">
        <v>107646.87</v>
      </c>
    </row>
    <row r="33" spans="1:7" ht="18" customHeight="1" x14ac:dyDescent="0.4">
      <c r="A33" s="23"/>
      <c r="B33" s="36"/>
      <c r="C33" s="36"/>
      <c r="D33" s="36"/>
      <c r="E33" s="36"/>
      <c r="F33" s="36"/>
    </row>
    <row r="34" spans="1:7" ht="18" customHeight="1" x14ac:dyDescent="0.4">
      <c r="A34" s="28" t="s">
        <v>226</v>
      </c>
      <c r="B34" s="29"/>
      <c r="C34" s="29"/>
      <c r="D34" s="29"/>
      <c r="E34" s="29"/>
      <c r="F34" s="29"/>
    </row>
    <row r="35" spans="1:7" ht="18" customHeight="1" x14ac:dyDescent="0.4">
      <c r="A35" s="23" t="s">
        <v>227</v>
      </c>
      <c r="B35" s="24">
        <v>16227.25</v>
      </c>
      <c r="C35" s="24">
        <v>6610.98</v>
      </c>
      <c r="D35" s="24">
        <v>17795.13</v>
      </c>
      <c r="E35" s="24">
        <v>44090.65</v>
      </c>
      <c r="F35" s="24">
        <v>21021.919999999998</v>
      </c>
    </row>
    <row r="36" spans="1:7" ht="18" customHeight="1" x14ac:dyDescent="0.4">
      <c r="A36" s="21" t="s">
        <v>228</v>
      </c>
      <c r="B36" s="22">
        <v>72245.42</v>
      </c>
      <c r="C36" s="22">
        <v>61978.63</v>
      </c>
      <c r="D36" s="22">
        <v>69537.64</v>
      </c>
      <c r="E36" s="22">
        <v>129350.01</v>
      </c>
      <c r="F36" s="22">
        <v>128668.79</v>
      </c>
    </row>
    <row r="37" spans="1:7" ht="18" customHeight="1" x14ac:dyDescent="0.4">
      <c r="A37" s="26" t="s">
        <v>229</v>
      </c>
      <c r="B37" s="39">
        <v>0.77549999999999997</v>
      </c>
      <c r="C37" s="39">
        <v>0.89329999999999998</v>
      </c>
      <c r="D37" s="39">
        <v>0.74409999999999998</v>
      </c>
      <c r="E37" s="39">
        <v>0.65910000000000002</v>
      </c>
      <c r="F37" s="39">
        <v>0.83660000000000001</v>
      </c>
    </row>
    <row r="39" spans="1:7" ht="15" customHeight="1" x14ac:dyDescent="0.4">
      <c r="B39" s="49" t="s">
        <v>230</v>
      </c>
      <c r="C39" s="49"/>
      <c r="D39" s="49"/>
      <c r="E39" s="49"/>
      <c r="F39" s="49"/>
      <c r="G39" s="49"/>
    </row>
  </sheetData>
  <mergeCells count="2">
    <mergeCell ref="B1:G1"/>
    <mergeCell ref="B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B1:G36"/>
  <sheetViews>
    <sheetView showGridLines="0" tabSelected="1" zoomScaleNormal="100" workbookViewId="0">
      <selection activeCell="K2" sqref="K2"/>
    </sheetView>
  </sheetViews>
  <sheetFormatPr defaultColWidth="8.69140625" defaultRowHeight="14.6" x14ac:dyDescent="0.4"/>
  <cols>
    <col min="1" max="1" width="3" customWidth="1"/>
    <col min="2" max="2" width="30" customWidth="1"/>
    <col min="3" max="7" width="14" customWidth="1"/>
    <col min="8" max="8" width="3" customWidth="1"/>
  </cols>
  <sheetData>
    <row r="1" spans="2:7" ht="30" customHeight="1" x14ac:dyDescent="0.4">
      <c r="B1" s="50" t="s">
        <v>231</v>
      </c>
      <c r="C1" s="50"/>
      <c r="D1" s="50"/>
      <c r="E1" s="50"/>
      <c r="F1" s="50"/>
      <c r="G1" s="50"/>
    </row>
    <row r="3" spans="2:7" ht="15" customHeight="1" x14ac:dyDescent="0.4">
      <c r="B3" s="48" t="s">
        <v>232</v>
      </c>
      <c r="C3" s="48"/>
      <c r="D3" s="48"/>
      <c r="E3" s="48"/>
      <c r="F3" s="48"/>
      <c r="G3" s="48"/>
    </row>
    <row r="4" spans="2:7" ht="21.75" customHeight="1" x14ac:dyDescent="0.4">
      <c r="B4" s="18" t="s">
        <v>28</v>
      </c>
      <c r="C4" s="18" t="s">
        <v>68</v>
      </c>
      <c r="D4" s="18" t="s">
        <v>69</v>
      </c>
      <c r="E4" s="18" t="s">
        <v>70</v>
      </c>
      <c r="F4" s="18" t="s">
        <v>71</v>
      </c>
      <c r="G4" s="18" t="s">
        <v>72</v>
      </c>
    </row>
    <row r="5" spans="2:7" ht="19.5" customHeight="1" x14ac:dyDescent="0.4">
      <c r="B5" s="40" t="s">
        <v>31</v>
      </c>
      <c r="C5" s="41">
        <v>50.7</v>
      </c>
      <c r="D5" s="41">
        <v>57.24</v>
      </c>
      <c r="E5" s="41">
        <v>36.83</v>
      </c>
      <c r="F5" s="41">
        <v>17.329999999999998</v>
      </c>
      <c r="G5" s="41">
        <v>32.340000000000003</v>
      </c>
    </row>
    <row r="6" spans="2:7" ht="19.5" customHeight="1" x14ac:dyDescent="0.4">
      <c r="B6" s="23" t="s">
        <v>33</v>
      </c>
      <c r="C6" s="42">
        <v>55.24</v>
      </c>
      <c r="D6" s="42">
        <v>62.18</v>
      </c>
      <c r="E6" s="42">
        <v>41.35</v>
      </c>
      <c r="F6" s="42">
        <v>28.67</v>
      </c>
      <c r="G6" s="42">
        <v>45.12</v>
      </c>
    </row>
    <row r="7" spans="2:7" ht="19.5" customHeight="1" x14ac:dyDescent="0.4">
      <c r="B7" s="21" t="s">
        <v>35</v>
      </c>
      <c r="C7" s="43">
        <v>87.41</v>
      </c>
      <c r="D7" s="43">
        <v>102.36</v>
      </c>
      <c r="E7" s="43">
        <v>89.72</v>
      </c>
      <c r="F7" s="43">
        <v>63.49</v>
      </c>
      <c r="G7" s="43">
        <v>71.28</v>
      </c>
    </row>
    <row r="8" spans="2:7" ht="19.5" customHeight="1" x14ac:dyDescent="0.4">
      <c r="B8" s="23" t="s">
        <v>37</v>
      </c>
      <c r="C8" s="42">
        <v>65.28</v>
      </c>
      <c r="D8" s="42">
        <v>72.39</v>
      </c>
      <c r="E8" s="42">
        <v>48.62</v>
      </c>
      <c r="F8" s="42">
        <v>31.25</v>
      </c>
      <c r="G8" s="42">
        <v>39.17</v>
      </c>
    </row>
    <row r="10" spans="2:7" ht="15" customHeight="1" x14ac:dyDescent="0.4">
      <c r="B10" s="48" t="s">
        <v>233</v>
      </c>
      <c r="C10" s="48"/>
      <c r="D10" s="48"/>
      <c r="E10" s="48"/>
      <c r="F10" s="48"/>
      <c r="G10" s="48"/>
    </row>
    <row r="11" spans="2:7" ht="21.75" customHeight="1" x14ac:dyDescent="0.4">
      <c r="B11" s="18" t="s">
        <v>28</v>
      </c>
      <c r="C11" s="18" t="s">
        <v>68</v>
      </c>
      <c r="D11" s="18" t="s">
        <v>69</v>
      </c>
      <c r="E11" s="18" t="s">
        <v>70</v>
      </c>
      <c r="F11" s="18" t="s">
        <v>71</v>
      </c>
      <c r="G11" s="18" t="s">
        <v>72</v>
      </c>
    </row>
    <row r="12" spans="2:7" ht="19.5" customHeight="1" x14ac:dyDescent="0.4">
      <c r="B12" s="40" t="s">
        <v>31</v>
      </c>
      <c r="C12" s="41">
        <v>57.58</v>
      </c>
      <c r="D12" s="41">
        <v>66.349999999999994</v>
      </c>
      <c r="E12" s="41">
        <v>54.36</v>
      </c>
      <c r="F12" s="41">
        <v>40.380000000000003</v>
      </c>
      <c r="G12" s="41">
        <v>57.63</v>
      </c>
    </row>
    <row r="13" spans="2:7" ht="19.5" customHeight="1" x14ac:dyDescent="0.4">
      <c r="B13" s="23" t="s">
        <v>33</v>
      </c>
      <c r="C13" s="42">
        <v>47.36</v>
      </c>
      <c r="D13" s="42">
        <v>52.41</v>
      </c>
      <c r="E13" s="42">
        <v>41.29</v>
      </c>
      <c r="F13" s="42">
        <v>38.25</v>
      </c>
      <c r="G13" s="42">
        <v>49.17</v>
      </c>
    </row>
    <row r="14" spans="2:7" ht="19.5" customHeight="1" x14ac:dyDescent="0.4">
      <c r="B14" s="21" t="s">
        <v>35</v>
      </c>
      <c r="C14" s="43">
        <v>87.41</v>
      </c>
      <c r="D14" s="43">
        <v>102.36</v>
      </c>
      <c r="E14" s="43">
        <v>89.72</v>
      </c>
      <c r="F14" s="43">
        <v>61.49</v>
      </c>
      <c r="G14" s="43">
        <v>72.28</v>
      </c>
    </row>
    <row r="15" spans="2:7" ht="19.5" customHeight="1" x14ac:dyDescent="0.4">
      <c r="B15" s="23" t="s">
        <v>37</v>
      </c>
      <c r="C15" s="42">
        <v>50.28</v>
      </c>
      <c r="D15" s="42">
        <v>57.39</v>
      </c>
      <c r="E15" s="42">
        <v>42.62</v>
      </c>
      <c r="F15" s="42">
        <v>31.75</v>
      </c>
      <c r="G15" s="42">
        <v>45.17</v>
      </c>
    </row>
    <row r="17" spans="2:7" ht="15" customHeight="1" x14ac:dyDescent="0.4">
      <c r="B17" s="48" t="s">
        <v>234</v>
      </c>
      <c r="C17" s="48"/>
      <c r="D17" s="48"/>
      <c r="E17" s="48"/>
      <c r="F17" s="48"/>
      <c r="G17" s="48"/>
    </row>
    <row r="18" spans="2:7" ht="21.75" customHeight="1" x14ac:dyDescent="0.4">
      <c r="B18" s="18" t="s">
        <v>28</v>
      </c>
      <c r="C18" s="18" t="s">
        <v>68</v>
      </c>
      <c r="D18" s="18" t="s">
        <v>69</v>
      </c>
      <c r="E18" s="18" t="s">
        <v>70</v>
      </c>
      <c r="F18" s="18" t="s">
        <v>71</v>
      </c>
      <c r="G18" s="18" t="s">
        <v>72</v>
      </c>
    </row>
    <row r="19" spans="2:7" ht="19.5" customHeight="1" x14ac:dyDescent="0.4">
      <c r="B19" s="40" t="s">
        <v>31</v>
      </c>
      <c r="C19" s="41">
        <v>57.58</v>
      </c>
      <c r="D19" s="41">
        <v>66.349999999999994</v>
      </c>
      <c r="E19" s="41">
        <v>54.36</v>
      </c>
      <c r="F19" s="41">
        <v>40.380000000000003</v>
      </c>
      <c r="G19" s="41">
        <v>57.63</v>
      </c>
    </row>
    <row r="20" spans="2:7" ht="19.5" customHeight="1" x14ac:dyDescent="0.4">
      <c r="B20" s="23" t="s">
        <v>33</v>
      </c>
      <c r="C20" s="36"/>
      <c r="D20" s="36"/>
      <c r="E20" s="36"/>
      <c r="F20" s="36"/>
      <c r="G20" s="36"/>
    </row>
    <row r="21" spans="2:7" ht="19.5" customHeight="1" x14ac:dyDescent="0.4">
      <c r="B21" s="21" t="s">
        <v>35</v>
      </c>
      <c r="C21" s="25"/>
      <c r="D21" s="25"/>
      <c r="E21" s="25"/>
      <c r="F21" s="25"/>
      <c r="G21" s="25"/>
    </row>
    <row r="22" spans="2:7" ht="19.5" customHeight="1" x14ac:dyDescent="0.4">
      <c r="B22" s="23" t="s">
        <v>37</v>
      </c>
      <c r="C22" s="36"/>
      <c r="D22" s="36"/>
      <c r="E22" s="36"/>
      <c r="F22" s="36"/>
      <c r="G22" s="36"/>
    </row>
    <row r="24" spans="2:7" ht="15" customHeight="1" x14ac:dyDescent="0.4">
      <c r="B24" s="48" t="s">
        <v>235</v>
      </c>
      <c r="C24" s="48"/>
      <c r="D24" s="48"/>
      <c r="E24" s="48"/>
      <c r="F24" s="48"/>
      <c r="G24" s="48"/>
    </row>
    <row r="25" spans="2:7" ht="21.75" customHeight="1" x14ac:dyDescent="0.4">
      <c r="B25" s="18" t="s">
        <v>28</v>
      </c>
      <c r="C25" s="18" t="s">
        <v>68</v>
      </c>
      <c r="D25" s="18" t="s">
        <v>69</v>
      </c>
      <c r="E25" s="18" t="s">
        <v>70</v>
      </c>
      <c r="F25" s="18" t="s">
        <v>71</v>
      </c>
      <c r="G25" s="18" t="s">
        <v>72</v>
      </c>
    </row>
    <row r="26" spans="2:7" ht="19.5" customHeight="1" x14ac:dyDescent="0.4">
      <c r="B26" s="40" t="s">
        <v>31</v>
      </c>
      <c r="C26" s="41">
        <v>14.43</v>
      </c>
      <c r="D26" s="41">
        <v>11.08</v>
      </c>
      <c r="E26" s="41">
        <v>20.77</v>
      </c>
      <c r="F26" s="41">
        <v>25.3</v>
      </c>
      <c r="G26" s="41">
        <v>11.71</v>
      </c>
    </row>
    <row r="27" spans="2:7" ht="19.5" customHeight="1" x14ac:dyDescent="0.4">
      <c r="B27" s="23" t="s">
        <v>33</v>
      </c>
      <c r="C27" s="36"/>
      <c r="D27" s="36"/>
      <c r="E27" s="36"/>
      <c r="F27" s="36"/>
      <c r="G27" s="36"/>
    </row>
    <row r="28" spans="2:7" ht="19.5" customHeight="1" x14ac:dyDescent="0.4">
      <c r="B28" s="21" t="s">
        <v>35</v>
      </c>
      <c r="C28" s="25"/>
      <c r="D28" s="25"/>
      <c r="E28" s="25"/>
      <c r="F28" s="25"/>
      <c r="G28" s="25"/>
    </row>
    <row r="29" spans="2:7" ht="19.5" customHeight="1" x14ac:dyDescent="0.4">
      <c r="B29" s="23" t="s">
        <v>37</v>
      </c>
      <c r="C29" s="36"/>
      <c r="D29" s="36"/>
      <c r="E29" s="36"/>
      <c r="F29" s="36"/>
      <c r="G29" s="36"/>
    </row>
    <row r="31" spans="2:7" ht="15" customHeight="1" x14ac:dyDescent="0.4">
      <c r="B31" s="48" t="s">
        <v>236</v>
      </c>
      <c r="C31" s="48"/>
      <c r="D31" s="48"/>
      <c r="E31" s="48"/>
      <c r="F31" s="48"/>
      <c r="G31" s="48"/>
    </row>
    <row r="32" spans="2:7" ht="21.75" customHeight="1" x14ac:dyDescent="0.4">
      <c r="B32" s="18" t="s">
        <v>28</v>
      </c>
      <c r="C32" s="18" t="s">
        <v>68</v>
      </c>
      <c r="D32" s="18" t="s">
        <v>69</v>
      </c>
      <c r="E32" s="18" t="s">
        <v>70</v>
      </c>
      <c r="F32" s="18" t="s">
        <v>71</v>
      </c>
      <c r="G32" s="18" t="s">
        <v>72</v>
      </c>
    </row>
    <row r="33" spans="2:7" ht="19.5" customHeight="1" x14ac:dyDescent="0.4">
      <c r="B33" s="40" t="s">
        <v>31</v>
      </c>
      <c r="C33" s="41">
        <v>54250</v>
      </c>
      <c r="D33" s="41">
        <v>94220</v>
      </c>
      <c r="E33" s="41">
        <v>86910</v>
      </c>
      <c r="F33" s="41">
        <v>115160</v>
      </c>
      <c r="G33" s="41">
        <v>180640</v>
      </c>
    </row>
    <row r="34" spans="2:7" ht="19.5" customHeight="1" x14ac:dyDescent="0.4">
      <c r="B34" s="23" t="s">
        <v>33</v>
      </c>
      <c r="C34" s="42">
        <v>62390</v>
      </c>
      <c r="D34" s="42">
        <v>85170</v>
      </c>
      <c r="E34" s="42">
        <v>78560</v>
      </c>
      <c r="F34" s="42">
        <v>102410</v>
      </c>
      <c r="G34" s="42">
        <v>167280</v>
      </c>
    </row>
    <row r="35" spans="2:7" ht="19.5" customHeight="1" x14ac:dyDescent="0.4">
      <c r="B35" s="21" t="s">
        <v>35</v>
      </c>
      <c r="C35" s="43">
        <v>187640</v>
      </c>
      <c r="D35" s="43">
        <v>201530</v>
      </c>
      <c r="E35" s="43">
        <v>174280</v>
      </c>
      <c r="F35" s="43">
        <v>189620</v>
      </c>
      <c r="G35" s="43">
        <v>215470</v>
      </c>
    </row>
    <row r="36" spans="2:7" ht="19.5" customHeight="1" x14ac:dyDescent="0.4">
      <c r="B36" s="23" t="s">
        <v>37</v>
      </c>
      <c r="C36" s="42">
        <v>97350</v>
      </c>
      <c r="D36" s="42">
        <v>112470</v>
      </c>
      <c r="E36" s="42">
        <v>95180</v>
      </c>
      <c r="F36" s="42">
        <v>108270</v>
      </c>
      <c r="G36" s="42">
        <v>142350</v>
      </c>
    </row>
  </sheetData>
  <mergeCells count="6">
    <mergeCell ref="B31:G31"/>
    <mergeCell ref="B1:G1"/>
    <mergeCell ref="B3:G3"/>
    <mergeCell ref="B10:G10"/>
    <mergeCell ref="B17:G17"/>
    <mergeCell ref="B24:G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📋 Cover</vt:lpstr>
      <vt:lpstr>📁 Financial Statements</vt:lpstr>
      <vt:lpstr>⚙️ WC Ratios</vt:lpstr>
      <vt:lpstr>📦 Cost Sheet</vt:lpstr>
      <vt:lpstr>🏭 Peer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Chinmaya Shakti Prasad Das</cp:lastModifiedBy>
  <cp:revision>1</cp:revision>
  <dcterms:created xsi:type="dcterms:W3CDTF">2026-03-12T14:38:20Z</dcterms:created>
  <dcterms:modified xsi:type="dcterms:W3CDTF">2026-03-13T04:53:27Z</dcterms:modified>
  <dc:language>en-US</dc:language>
</cp:coreProperties>
</file>